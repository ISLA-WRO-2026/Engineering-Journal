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ms-excel.richvaluerel+xml" PartName="/xl/richData/richValueRel.xml"/>
  <Override ContentType="application/vnd.ms-excel.rdrichvalue+xml" PartName="/xl/richData/rdrichvalue.xml"/>
  <Override ContentType="application/vnd.ms-excel.rdrichvaluestructure+xml" PartName="/xl/richData/rdrichvaluestructure.xml"/>
  <Override ContentType="application/vnd.ms-excel.rdrichvaluetypes+xml" PartName="/xl/richData/rdRichValueTypes.xml"/>
  <Override ContentType="application/vnd.openxmlformats-officedocument.drawing+xml" PartName="/xl/drawings/drawing1.xml"/>
  <Override ContentType="application/vnd.openxmlformats-officedocument.drawingml.diagramData+xml" PartName="/xl/diagrams/data1.xml"/>
  <Override ContentType="application/vnd.openxmlformats-officedocument.drawingml.diagramLayout+xml" PartName="/xl/diagrams/layout1.xml"/>
  <Override ContentType="application/vnd.openxmlformats-officedocument.drawingml.diagramStyle+xml" PartName="/xl/diagrams/quickStyle1.xml"/>
  <Override ContentType="application/vnd.openxmlformats-officedocument.drawingml.diagramColors+xml" PartName="/xl/diagrams/colors1.xml"/>
  <Override ContentType="application/vnd.ms-office.drawingml.diagramDrawing+xml" PartName="/xl/diagrams/drawing1.xml"/>
  <Override ContentType="application/vnd.openxmlformats-officedocument.drawing+xml" PartName="/xl/drawings/drawing2.xml"/>
  <Override ContentType="application/vnd.openxmlformats-officedocument.drawingml.diagramData+xml" PartName="/xl/diagrams/data2.xml"/>
  <Override ContentType="application/vnd.openxmlformats-officedocument.drawingml.diagramLayout+xml" PartName="/xl/diagrams/layout2.xml"/>
  <Override ContentType="application/vnd.openxmlformats-officedocument.drawingml.diagramStyle+xml" PartName="/xl/diagrams/quickStyle2.xml"/>
  <Override ContentType="application/vnd.openxmlformats-officedocument.drawingml.diagramColors+xml" PartName="/xl/diagrams/colors2.xml"/>
  <Override ContentType="application/vnd.ms-office.drawingml.diagramDrawing+xml" PartName="/xl/diagrams/drawing2.xml"/>
  <Override ContentType="application/vnd.openxmlformats-officedocument.spreadsheetml.table+xml" PartName="/xl/tables/table1.xml"/>
  <Override ContentType="application/vnd.openxmlformats-officedocument.drawing+xml" PartName="/xl/drawings/drawing3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spreadsheetml.table+xml" PartName="/xl/tables/table4.xml"/>
  <Override ContentType="application/vnd.openxmlformats-officedocument.spreadsheetml.table+xml" PartName="/xl/tables/table5.xml"/>
  <Override ContentType="application/vnd.openxmlformats-officedocument.spreadsheetml.table+xml" PartName="/xl/tables/table6.xml"/>
  <Override ContentType="application/vnd.openxmlformats-officedocument.spreadsheetml.table+xml" PartName="/xl/tables/table7.xml"/>
  <Override ContentType="application/vnd.openxmlformats-officedocument.drawingml.diagramData+xml" PartName="/xl/diagrams/data3.xml"/>
  <Override ContentType="application/vnd.openxmlformats-officedocument.drawingml.diagramLayout+xml" PartName="/xl/diagrams/layout3.xml"/>
  <Override ContentType="application/vnd.openxmlformats-officedocument.drawingml.diagramStyle+xml" PartName="/xl/diagrams/quickStyle3.xml"/>
  <Override ContentType="application/vnd.openxmlformats-officedocument.drawingml.diagramColors+xml" PartName="/xl/diagrams/colors3.xml"/>
  <Override ContentType="application/vnd.ms-office.drawingml.diagramDrawing+xml" PartName="/xl/diagrams/drawing3.xml"/>
  <Override ContentType="application/vnd.openxmlformats-officedocument.drawing+xml" PartName="/xl/drawings/drawing4.xml"/>
  <Override ContentType="application/vnd.ms-excel.featurepropertybag+xml" PartName="/xl/featurePropertyBag/featurePropertyBag.xml"/>
  <Override ContentType="application/vnd.openxmlformats-officedocument.spreadsheetml.calcChain+xml" PartName="/xl/calcChain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Default ContentType="image/jpeg" Extension="jpe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eymido\Downloads\"/>
    </mc:Choice>
  </mc:AlternateContent>
  <xr:revisionPtr revIDLastSave="0" documentId="8_{6E10CB07-F331-4C31-BD34-70BA7A945C6A}" xr6:coauthVersionLast="47" xr6:coauthVersionMax="47" xr10:uidLastSave="{00000000-0000-0000-0000-000000000000}"/>
  <bookViews>
    <workbookView xWindow="-108" yWindow="-108" windowWidth="23256" windowHeight="13896" firstSheet="3" activeTab="3" xr2:uid="{F3DC44ED-16F8-4061-A314-770C315A320F}"/>
  </bookViews>
  <sheets>
    <sheet name="Timeline" sheetId="11" r:id="rId1"/>
    <sheet name="Index" sheetId="2" r:id="rId2"/>
    <sheet name="Inventory" sheetId="17" r:id="rId3"/>
    <sheet name="Mission" sheetId="3" r:id="rId4"/>
    <sheet name="System Requirements" sheetId="12" r:id="rId5"/>
    <sheet name="Alternatives" sheetId="5" r:id="rId6"/>
    <sheet name="System Definition" sheetId="6" r:id="rId7"/>
    <sheet name="Selection" sheetId="9" r:id="rId8"/>
    <sheet name="Preliminar Design" sheetId="10" r:id="rId9"/>
    <sheet name="Pre-CDR" sheetId="16" r:id="rId10"/>
    <sheet name="Planification" sheetId="7" r:id="rId11"/>
    <sheet name="Crítical Design" sheetId="13" r:id="rId12"/>
    <sheet name="Systems Integration" sheetId="14" r:id="rId13"/>
    <sheet name="Systems Operability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8" i="3" l="1"/>
  <c r="AC27" i="3"/>
  <c r="AC26" i="3"/>
  <c r="AC25" i="3"/>
  <c r="AC24" i="3"/>
  <c r="AC23" i="3"/>
  <c r="AC22" i="3"/>
  <c r="AC21" i="3"/>
  <c r="AC20" i="3"/>
  <c r="AC19" i="3"/>
  <c r="AC18" i="3"/>
  <c r="AC17" i="3"/>
  <c r="AC16" i="3"/>
  <c r="AC15" i="3"/>
  <c r="AC14" i="3"/>
  <c r="AC13" i="3"/>
  <c r="V17" i="3"/>
  <c r="V16" i="3"/>
  <c r="H3" i="17"/>
  <c r="H4" i="17"/>
  <c r="H5" i="17"/>
  <c r="H6" i="17"/>
  <c r="H7" i="17"/>
  <c r="H8" i="17"/>
  <c r="H9" i="17"/>
  <c r="H10" i="17"/>
  <c r="H11" i="17"/>
  <c r="H12" i="17"/>
  <c r="H13" i="17"/>
  <c r="H14" i="17"/>
  <c r="H15" i="17"/>
  <c r="H16" i="17"/>
  <c r="H17" i="17"/>
  <c r="H18" i="17"/>
  <c r="H19" i="17"/>
  <c r="H20" i="17"/>
  <c r="H2" i="17"/>
  <c r="V5" i="3"/>
  <c r="V6" i="3"/>
  <c r="V7" i="3"/>
  <c r="V8" i="3"/>
  <c r="V9" i="3"/>
  <c r="V10" i="3"/>
  <c r="V11" i="3"/>
  <c r="V12" i="3"/>
  <c r="V13" i="3"/>
  <c r="V14" i="3"/>
  <c r="V15" i="3"/>
  <c r="V18" i="3"/>
  <c r="V19" i="3"/>
  <c r="V20" i="3"/>
  <c r="V21" i="3"/>
  <c r="V22" i="3"/>
  <c r="V23" i="3"/>
  <c r="V24" i="3"/>
  <c r="V25" i="3"/>
  <c r="V26" i="3"/>
  <c r="V4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</futureMetadata>
  <valueMetadata count="1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</valueMetadata>
</metadata>
</file>

<file path=xl/sharedStrings.xml><?xml version="1.0" encoding="utf-8"?>
<sst xmlns="http://schemas.openxmlformats.org/spreadsheetml/2006/main" count="1135" uniqueCount="785">
  <si>
    <t>Conceptualización</t>
  </si>
  <si>
    <t>MCR</t>
  </si>
  <si>
    <t>SRR</t>
  </si>
  <si>
    <t>SDR</t>
  </si>
  <si>
    <t>PDR</t>
  </si>
  <si>
    <t>Pre-CDR</t>
  </si>
  <si>
    <t>Hito 1</t>
  </si>
  <si>
    <t>Hito 2</t>
  </si>
  <si>
    <t>DD</t>
  </si>
  <si>
    <t>Hito 3</t>
  </si>
  <si>
    <t>Hito 4</t>
  </si>
  <si>
    <t>S1</t>
  </si>
  <si>
    <t>S2</t>
  </si>
  <si>
    <t>S3</t>
  </si>
  <si>
    <t>S4</t>
  </si>
  <si>
    <t>S5</t>
  </si>
  <si>
    <t>S6</t>
  </si>
  <si>
    <t>S7</t>
  </si>
  <si>
    <t>S9</t>
  </si>
  <si>
    <t>S10</t>
  </si>
  <si>
    <t>S11</t>
  </si>
  <si>
    <t>Misión</t>
  </si>
  <si>
    <t>Retos</t>
  </si>
  <si>
    <t>Requerimientos</t>
  </si>
  <si>
    <t>Alternativas</t>
  </si>
  <si>
    <t>Ideas/Tipos</t>
  </si>
  <si>
    <t>Componentes</t>
  </si>
  <si>
    <t>Análisis</t>
  </si>
  <si>
    <t>Combinaciones</t>
  </si>
  <si>
    <t>Def. del Sistema</t>
  </si>
  <si>
    <t>Diagramas</t>
  </si>
  <si>
    <t>Digramas Sub</t>
  </si>
  <si>
    <t>Esquemas</t>
  </si>
  <si>
    <t>Selección</t>
  </si>
  <si>
    <t>Propuesta</t>
  </si>
  <si>
    <t>Concepto</t>
  </si>
  <si>
    <t>Diseño Preliminar</t>
  </si>
  <si>
    <t>Plan Validación</t>
  </si>
  <si>
    <t>Plan</t>
  </si>
  <si>
    <t>Fabricación</t>
  </si>
  <si>
    <t>Checklist</t>
  </si>
  <si>
    <t>CDR</t>
  </si>
  <si>
    <t>SIR</t>
  </si>
  <si>
    <t>ORR</t>
  </si>
  <si>
    <t>FIR</t>
  </si>
  <si>
    <t>Hito 5</t>
  </si>
  <si>
    <t>DF</t>
  </si>
  <si>
    <t>Hito 6</t>
  </si>
  <si>
    <t>Hito 7 CL</t>
  </si>
  <si>
    <t>Hito 8</t>
  </si>
  <si>
    <t>S8</t>
  </si>
  <si>
    <t>Actualización</t>
  </si>
  <si>
    <t>Proto. Funcional</t>
  </si>
  <si>
    <t>Robot Operacional</t>
  </si>
  <si>
    <t>Robot Competencia</t>
  </si>
  <si>
    <t>Contenido del Hito</t>
  </si>
  <si>
    <t>Review de verificación</t>
  </si>
  <si>
    <t>MCR - Mission Concept Review</t>
  </si>
  <si>
    <t>Criterio</t>
  </si>
  <si>
    <t>Bien (2 pts)</t>
  </si>
  <si>
    <t>Aceptable (1 pt)</t>
  </si>
  <si>
    <t>Deficiente (0 pt)</t>
  </si>
  <si>
    <t>Hito 2. Exploración de Soluciones y Plan de Conceptualización</t>
  </si>
  <si>
    <t>SRR - System Requirements Review</t>
  </si>
  <si>
    <t>Rúbrica de Revisión del Requerimientos del Sistema</t>
  </si>
  <si>
    <t>1. Claridad y estructura de los requerimientos</t>
  </si>
  <si>
    <t>Los requerimientos están redactados en lenguaje técnico claro y específico, se usan estructuras correctas ("El sistema debe...") y cada uno puede verificarse. Están organizados por tipo (funcionales, operacionales, restricción, desempeño, etc.).</t>
  </si>
  <si>
    <t>La mayoría de los requerimientos son comprensibles y verificables. Se usa la estructura correcta en muchos casos, pero algunos son ambiguos o mezclan categorías.</t>
  </si>
  <si>
    <t>Los requerimientos están escritos de forma general o ambigua (p. ej. “funcione bien”). No es evidente qué tipo de requerimiento es ni cómo verificarlo.</t>
  </si>
  <si>
    <t>2. Derivación desde el problema y contexto</t>
  </si>
  <si>
    <t>Cada requerimiento está claramente trazado a una necesidad, función o condición del entorno, y se justifica su inclusión con base en el problema o misión.</t>
  </si>
  <si>
    <t>Muchos requerimientos tienen una conexión parcial con la misión, pero no todos están bien justificados o parecen genéricos.</t>
  </si>
  <si>
    <t>Los requerimientos no están vinculados al problema definido, o parecen copiados de otras fuentes sin conexión con la solución planteada.</t>
  </si>
  <si>
    <t>3. Cobertura de funciones y condiciones de operación</t>
  </si>
  <si>
    <t>Se cubren todas las funciones principales del sistema, los modos de operación esperados, y las condiciones del entorno (espacio, distancias, tiempo, tamaño, etc.). Se consideran escenarios normales y desafiantes.</t>
  </si>
  <si>
    <t>Se cubren las funciones básicas del sistema y algunos aspectos del entorno, pero faltan modos de operación o no se detallan bien las condiciones reales.</t>
  </si>
  <si>
    <t>Solo se mencionan funciones generales (moverse, recoger) sin indicar cómo deben funcionar o bajo qué condiciones.</t>
  </si>
  <si>
    <t>4. Viabilidad y consistencia con el diseño propuesto</t>
  </si>
  <si>
    <t>Los requerimientos son coherentes entre sí y están redactados considerando los límites físicos y tecnológicos del equipo. Se evita contradicción entre ellos.</t>
  </si>
  <si>
    <t>La mayoría de los requerimientos son compatibles entre sí, pero algunos parecen exagerados, poco realistas o duplicados.</t>
  </si>
  <si>
    <t>Hay contradicciones entre requerimientos o algunos claramente no pueden cumplirse con el diseño propuesto.</t>
  </si>
  <si>
    <t>Tabla de Requerimientos del Sistema</t>
  </si>
  <si>
    <t>ID</t>
  </si>
  <si>
    <t>Tipo de Requerimiento</t>
  </si>
  <si>
    <t>Descripción del Requerimiento</t>
  </si>
  <si>
    <t>Criterio de Verificación</t>
  </si>
  <si>
    <t>Método de Prueba</t>
  </si>
  <si>
    <t>Origen en MCR</t>
  </si>
  <si>
    <t>RF-01</t>
  </si>
  <si>
    <t>Funcional</t>
  </si>
  <si>
    <r>
      <t xml:space="preserve">El robot </t>
    </r>
    <r>
      <rPr>
        <b/>
        <sz val="10"/>
        <color theme="1"/>
        <rFont val="Calibri"/>
        <family val="2"/>
        <scheme val="minor"/>
      </rPr>
      <t>debe</t>
    </r>
    <r>
      <rPr>
        <sz val="10"/>
        <color theme="1"/>
        <rFont val="Calibri"/>
        <family val="2"/>
        <scheme val="minor"/>
      </rPr>
      <t xml:space="preserve"> recoger un objeto cilíndrico de 5 cm de diámetro del fondo de la piscina en ≤ 45 segundos</t>
    </r>
  </si>
  <si>
    <t>Tiempo ≤ 45 s</t>
  </si>
  <si>
    <t>Cronometraje en prueba de misión</t>
  </si>
  <si>
    <t>MCR – Objetivos, p.3</t>
  </si>
  <si>
    <t>RT-02</t>
  </si>
  <si>
    <t>Técnico</t>
  </si>
  <si>
    <r>
      <t xml:space="preserve">La estructura </t>
    </r>
    <r>
      <rPr>
        <b/>
        <sz val="10"/>
        <color theme="1"/>
        <rFont val="Calibri"/>
        <family val="2"/>
        <scheme val="minor"/>
      </rPr>
      <t>debe</t>
    </r>
    <r>
      <rPr>
        <sz val="10"/>
        <color theme="1"/>
        <rFont val="Calibri"/>
        <family val="2"/>
        <scheme val="minor"/>
      </rPr>
      <t xml:space="preserve"> soportar una presión de 20 kPa sin deformación permanente</t>
    </r>
  </si>
  <si>
    <t>Sin deformación después de prueba de presión</t>
  </si>
  <si>
    <t>Ensayo de presión en tanque</t>
  </si>
  <si>
    <t>MCR – Restricciones, p.5</t>
  </si>
  <si>
    <t>RO-03</t>
  </si>
  <si>
    <t>Operacional</t>
  </si>
  <si>
    <r>
      <t xml:space="preserve">El sistema de control </t>
    </r>
    <r>
      <rPr>
        <b/>
        <sz val="10"/>
        <color theme="1"/>
        <rFont val="Calibri"/>
        <family val="2"/>
        <scheme val="minor"/>
      </rPr>
      <t>debe</t>
    </r>
    <r>
      <rPr>
        <sz val="10"/>
        <color theme="1"/>
        <rFont val="Calibri"/>
        <family val="2"/>
        <scheme val="minor"/>
      </rPr>
      <t xml:space="preserve"> permitir sustitución del actuador de la pinza en ≤ 180 s</t>
    </r>
  </si>
  <si>
    <t>Tiempo de reemplazo ≤ 180 s</t>
  </si>
  <si>
    <t>Cronometraje en simulación de mantenimiento</t>
  </si>
  <si>
    <t>MCR – Estrategia, p.7</t>
  </si>
  <si>
    <t>RF-04</t>
  </si>
  <si>
    <r>
      <t xml:space="preserve">El robot </t>
    </r>
    <r>
      <rPr>
        <b/>
        <sz val="10"/>
        <color theme="1"/>
        <rFont val="Calibri"/>
        <family val="2"/>
        <scheme val="minor"/>
      </rPr>
      <t>puede</t>
    </r>
    <r>
      <rPr>
        <sz val="10"/>
        <color theme="1"/>
        <rFont val="Calibri"/>
        <family val="2"/>
        <scheme val="minor"/>
      </rPr>
      <t xml:space="preserve"> transmitir video en vivo en 720p</t>
    </r>
  </si>
  <si>
    <t>Confirmar transmisión a 720p</t>
  </si>
  <si>
    <t>Prueba de latencia y resolución</t>
  </si>
  <si>
    <t>MCR – Necesidades del operador, p.4</t>
  </si>
  <si>
    <t>Análisis y Evaluación</t>
  </si>
  <si>
    <t xml:space="preserve">¿Cuáles son alternativas válidas que se puedan considerar viables para el subsistema?
</t>
  </si>
  <si>
    <t>Ejemplo: Para sujetar una pelota, ¿qué tipos de mecanismos de pinza existen (grippers mecánicos, neumáticos, magnéticos, de vacío)?</t>
  </si>
  <si>
    <t>Miembro:</t>
  </si>
  <si>
    <t>Fulano De tal</t>
  </si>
  <si>
    <t>Subsistema</t>
  </si>
  <si>
    <t>Sujetar pelota en el fondo de la piscina</t>
  </si>
  <si>
    <t>¿Qué principios físicos, eléctricos o mecánicos están involucrados en el funcionamiento de cada alternativa, y qué necesito investigar para entenderlos mejor?</t>
  </si>
  <si>
    <t>¿Qué teorías, fórmulas o modelos me pueden ayudar a analizar la alternativa, aunque no los domine aún?</t>
  </si>
  <si>
    <t>¿Qué información debo adquirir sobre esta alternativa para saber si puede cumplir con las metas de desempeño?</t>
  </si>
  <si>
    <t>¿Qué recursos, materiales o componentes adicionales necesito investigar para saber cómo se implementa la alternativa?</t>
  </si>
  <si>
    <t xml:space="preserve">¿Cómo influye, afecta o impacta cada alternativa en los demás subsistemas del vehículo?
</t>
  </si>
  <si>
    <t>¿Qué informacion necesito investigar de esta alternativa para determinar si es compatibles con los demás subsistemas?</t>
  </si>
  <si>
    <t xml:space="preserve">¿Cuáles aspectos necesita discutir con su equipo para decidir juntos si esta alternativa es viable??
</t>
  </si>
  <si>
    <t>¿De dónde saqué la informcación? ¿Dónde puedo encontrar la información que me falta?</t>
  </si>
  <si>
    <t>Alternativa</t>
  </si>
  <si>
    <t>Principios físicos relevantes</t>
  </si>
  <si>
    <t>Principios teóricos aplicables</t>
  </si>
  <si>
    <t>Información requerida para desempeño</t>
  </si>
  <si>
    <t>Recursos/materiales necesarios</t>
  </si>
  <si>
    <t>Impacto en otros subsistemas</t>
  </si>
  <si>
    <t>Información requerida de otros subsistemas</t>
  </si>
  <si>
    <t>Necesidades de discusión en equipo</t>
  </si>
  <si>
    <t>Fuentes de información</t>
  </si>
  <si>
    <t>Pinza neumática</t>
  </si>
  <si>
    <t>Una pinza neumática requiere investigar presión, válvulas y compresores.</t>
  </si>
  <si>
    <t>Para un gripper de fricción, se necesitará investigar la relación entre fuerza normal y coeficiente de fricción.</t>
  </si>
  <si>
    <t>Fuerza de agarre, velocidad de apertura, peso máximo que puede levantar, compatibilidad de tamaño con la pelota.</t>
  </si>
  <si>
    <t>Compresores, tanques de presión, materiales de las mordazas, sensores de contacto.</t>
  </si>
  <si>
    <t>Consumo eléctrico (impacta en el subsistema de energía), volumen ocupado (impacta en la estructura).</t>
  </si>
  <si>
    <t>¿requiere voltajes o corrientes que la fuente de energía no puede dar?, ¿ocupa demasiado espacio en el chasis?</t>
  </si>
  <si>
    <t>Si yo investigo el gripper, debo preguntar al compañero de energía cuánto voltaje/corriente puedo usar.</t>
  </si>
  <si>
    <t>Otros compañeros. Youtube. Buscar en catálogos, en papers, o en foros.</t>
  </si>
  <si>
    <t>Tabla de Alternativas</t>
  </si>
  <si>
    <t>Hito 3. Selección y Modelado del Concepto</t>
  </si>
  <si>
    <t xml:space="preserve">Se ha documentado la propuesta de un dispositivo que satisface los requerimientos y criterios, junto con los procesos de selección de las alternativas estudiadas. </t>
  </si>
  <si>
    <t>- Herramientas usadas para selección.</t>
  </si>
  <si>
    <t>- Resultados de simulaciones y pruebas conceptuales y ajustes resultantes.</t>
  </si>
  <si>
    <t>- Comparación contra criterios y requerimientos.</t>
  </si>
  <si>
    <t>- Diagramas de integración: Disposición geométrica, Modelos CAD, Esquemáticos, etc.</t>
  </si>
  <si>
    <t>SDR - System Definition Review</t>
  </si>
  <si>
    <t>System Definition Review (SDR)</t>
  </si>
  <si>
    <t>Objetivo: Descomponer el sistema en subsistemas, identificar sus interacciones, y preparar una base útil para planificar integración y pruebas.</t>
  </si>
  <si>
    <t>Rúbrica de Revisión del Definición del Sistema</t>
  </si>
  <si>
    <t>1. Descomposición funcional del sistema</t>
  </si>
  <si>
    <t>Se presenta un diagrama funcional donde cada subsistema está identificado por su función principal y vinculado a uno o más requerimientos.</t>
  </si>
  <si>
    <t>Se listan los subsistemas y algunas de sus funciones, pero no se vinculan directamente a los requerimientos.</t>
  </si>
  <si>
    <t>Solo se mencionan subsistemas o componentes sin definir sus funciones ni su relación con los requerimientos.</t>
  </si>
  <si>
    <t>2. Interfaces e interacciones</t>
  </si>
  <si>
    <t>Se presenta un esquema de arquitectura que muestra todas las interfaces relevantes (mecánicas, eléctricas, de software) con etiquetas o anotaciones que explican el tipo de intercambio entre subsistemas.</t>
  </si>
  <si>
    <t>Se mencionan algunas interfaces o se muestran sin explicación. Algunas conexiones están ausentes o son ambiguas.</t>
  </si>
  <si>
    <t>No se presentan interfaces entre subsistemas, o las que hay son incorrectas o sin fundamento.</t>
  </si>
  <si>
    <t>3. Consideraciones para integración y prueba</t>
  </si>
  <si>
    <t>Se identifica al menos un escenario de prueba para cada subsistema e interacción relevante, incluyendo qué se debe verificar y cómo se planea hacerlo.</t>
  </si>
  <si>
    <t>Se mencionan escenarios de prueba, pero solo para algunos subsistemas o sin detalles sobre cómo se harán.</t>
  </si>
  <si>
    <t>No se vinculan los subsistemas con pruebas futuras, o se omite por completo esta sección.</t>
  </si>
  <si>
    <t>4. Actitud de diseño informada y responsable</t>
  </si>
  <si>
    <t>Se identifican explícitamente los retos o limitaciones del equipo ante el diseño propuesto. Se describen sus efectos y consecuencias sobre otros subsistemas, las metas y el trabajo requerido del equipo.</t>
  </si>
  <si>
    <t>Se identifican parcialmente las limitaciones ante el diseño, pero sin detallar su impacto en las metas del equipo o subsistemas. Hay conciencia general del realismo de las propuestas, pero con omisiones relevantes.</t>
  </si>
  <si>
    <t>No se analizan o reconocen las consecuencias prácticas los retos en el diseño. Las propuestas se presentan sin vinculación con los recursos reales del equipo o sin considerar el impacto sobre los demás subsistemas o integrantes.</t>
  </si>
  <si>
    <t>Enumerar los subsistemas principales del vehículo</t>
  </si>
  <si>
    <t>Crear diagramas y esquemas que ilustren la interconexión entre los diferentes subsistemas del vehículo</t>
  </si>
  <si>
    <t>Utilizar herramientas como diagramas de bloques, diagramas de flujo y esquemas eléctricos para visualizar la relación entre los componentes.</t>
  </si>
  <si>
    <t>Analizar cómo interactúan y dependen los subsistemas entre sí para lograr el funcionamiento óptimo del vehículo.</t>
  </si>
  <si>
    <t>Identificar posibles áreas de conflicto o redundancia que puedan afectar el rendimiento global del vehículo.</t>
  </si>
  <si>
    <t>Alternativas seleccionadas según Subsistemas y Arquitectura</t>
  </si>
  <si>
    <t>Proceso de generar Combinaciones</t>
  </si>
  <si>
    <t>Procesos para elegir un Concepto</t>
  </si>
  <si>
    <t xml:space="preserve">A partir de lo aprendido con el análisis de las alternativas, se realiza un análisis a nivel sistemático de la capacidad que tiene cada alternativa viable de lograr los requerimientos del proyecto. </t>
  </si>
  <si>
    <t>Conviertan los requerimientos y cualquier otra especificación en criterios para seleccionar entre las alternativas</t>
  </si>
  <si>
    <t>No.</t>
  </si>
  <si>
    <t>Criterio a alcanzar</t>
  </si>
  <si>
    <t>Detectar rasgos de una caja</t>
  </si>
  <si>
    <t>Detecta a por lo menos 60 cm</t>
  </si>
  <si>
    <t>Mantener todo unido</t>
  </si>
  <si>
    <t>Al desplazarse 3 m cargado</t>
  </si>
  <si>
    <t>Resaltar entre los demás</t>
  </si>
  <si>
    <t>Parece más grande que otro desde 10 m</t>
  </si>
  <si>
    <t>No se cae al trabajar con una caja</t>
  </si>
  <si>
    <t>Al desplazarse 1 m</t>
  </si>
  <si>
    <t>Ganar control de la caja</t>
  </si>
  <si>
    <t>Con menos de 15 N de fuerza</t>
  </si>
  <si>
    <t>Despegar la caja del suelo</t>
  </si>
  <si>
    <t>Por lo menos 3 cm</t>
  </si>
  <si>
    <t>Organícen las alternativas junto a su función en una caja morfológica</t>
  </si>
  <si>
    <t>Función</t>
  </si>
  <si>
    <t>Funcionalidad/Meta</t>
  </si>
  <si>
    <t>Principio 1</t>
  </si>
  <si>
    <t>Principio 2</t>
  </si>
  <si>
    <t>Principio 3</t>
  </si>
  <si>
    <t>Detección</t>
  </si>
  <si>
    <t>Identificar Caja</t>
  </si>
  <si>
    <t>Por el color</t>
  </si>
  <si>
    <t>Por la forma</t>
  </si>
  <si>
    <t>Por la presencia</t>
  </si>
  <si>
    <t>Estructura</t>
  </si>
  <si>
    <t>Soportar el peso</t>
  </si>
  <si>
    <t>Material denso</t>
  </si>
  <si>
    <t>Material rígido</t>
  </si>
  <si>
    <t>Diseño orgánico</t>
  </si>
  <si>
    <t>Verse auténtico</t>
  </si>
  <si>
    <t>Colores e imágenes</t>
  </si>
  <si>
    <t>Iluminación</t>
  </si>
  <si>
    <t>Aditamentos y forma</t>
  </si>
  <si>
    <t>Mantener equilibrio</t>
  </si>
  <si>
    <t>No se cae al trabajar la caja</t>
  </si>
  <si>
    <t>Anchura de la base</t>
  </si>
  <si>
    <t>Anchura de las ruedas</t>
  </si>
  <si>
    <t>Centro de masa bajo</t>
  </si>
  <si>
    <t>Manipulación</t>
  </si>
  <si>
    <t>Sujetar caja</t>
  </si>
  <si>
    <t>Abrazar</t>
  </si>
  <si>
    <t>Empujarla</t>
  </si>
  <si>
    <t>Adheriéndose</t>
  </si>
  <si>
    <t>Sostener caja</t>
  </si>
  <si>
    <t>Insertar algo bajo la caja</t>
  </si>
  <si>
    <t>Inclinarla sobre rampa</t>
  </si>
  <si>
    <t>Elevarla del suelo</t>
  </si>
  <si>
    <t>Ahora es posible generar más alternativas considerando variantes (de forma, de posición, de componentes, etc.)</t>
  </si>
  <si>
    <t>Variante 1</t>
  </si>
  <si>
    <t>Variante 2</t>
  </si>
  <si>
    <t>Variante 3</t>
  </si>
  <si>
    <t>Usando imágenes</t>
  </si>
  <si>
    <t>Sensor de color</t>
  </si>
  <si>
    <t>Por tacto</t>
  </si>
  <si>
    <t>Porque encaja</t>
  </si>
  <si>
    <t>Sensor de rango específico</t>
  </si>
  <si>
    <t xml:space="preserve">S. en ubicación especial </t>
  </si>
  <si>
    <t>Sensores cruzados</t>
  </si>
  <si>
    <t>Material</t>
  </si>
  <si>
    <t>Acrílico</t>
  </si>
  <si>
    <t>Metal</t>
  </si>
  <si>
    <t>Madera</t>
  </si>
  <si>
    <t>Forma</t>
  </si>
  <si>
    <t>Uso de arcos</t>
  </si>
  <si>
    <t>Vigas + superficies</t>
  </si>
  <si>
    <t>Una sola pieza</t>
  </si>
  <si>
    <t>Distribución</t>
  </si>
  <si>
    <t>Todo uniforme</t>
  </si>
  <si>
    <t>Zonas gruesas</t>
  </si>
  <si>
    <t>Sobre las ruedas</t>
  </si>
  <si>
    <t xml:space="preserve">Pintura </t>
  </si>
  <si>
    <t xml:space="preserve">Stickers </t>
  </si>
  <si>
    <t>Color del PLA</t>
  </si>
  <si>
    <t>Luces de colores</t>
  </si>
  <si>
    <t>Luces animadas</t>
  </si>
  <si>
    <t>Luces reactivas</t>
  </si>
  <si>
    <t>Alas</t>
  </si>
  <si>
    <t>Cuernos</t>
  </si>
  <si>
    <t>Figuras de Lego</t>
  </si>
  <si>
    <t>Preselección</t>
  </si>
  <si>
    <t xml:space="preserve">Con esta información, se pueden evaluar las alternativas que su análisis les indica son válidas </t>
  </si>
  <si>
    <t>Alternativas que cumplan las funciones, y tienen potencial obvio</t>
  </si>
  <si>
    <t>Funciones</t>
  </si>
  <si>
    <t>Alternativa 1</t>
  </si>
  <si>
    <t>Alternativa 2</t>
  </si>
  <si>
    <t>Alternativa 3</t>
  </si>
  <si>
    <t>Dos cámaras</t>
  </si>
  <si>
    <t>4 sensores de color</t>
  </si>
  <si>
    <t>Tacto en el manipulador</t>
  </si>
  <si>
    <t>Y marcar su compatibilidad con los criterios que le apliquen a cada Subsistema</t>
  </si>
  <si>
    <t>Criterios que aplican</t>
  </si>
  <si>
    <t>Criterio 1</t>
  </si>
  <si>
    <t>Criterio 2</t>
  </si>
  <si>
    <t>Criterio 3</t>
  </si>
  <si>
    <t>Criterio 4</t>
  </si>
  <si>
    <t>Criterio 5</t>
  </si>
  <si>
    <t>Criterio 6</t>
  </si>
  <si>
    <t>Completar tabla de compatibilidad con:</t>
  </si>
  <si>
    <t>No hay info; riesgoso</t>
  </si>
  <si>
    <t>Parece compatible; falta info</t>
  </si>
  <si>
    <t>Compatible</t>
  </si>
  <si>
    <t>Compatibilidad</t>
  </si>
  <si>
    <t>Responsable:</t>
  </si>
  <si>
    <t>Sumatoria</t>
  </si>
  <si>
    <t>Otros subsistemas</t>
  </si>
  <si>
    <t>Entorno operacional</t>
  </si>
  <si>
    <t>Pinza mecánica servo</t>
  </si>
  <si>
    <t>Gripper magnético</t>
  </si>
  <si>
    <t>Con estos resultados, hagan un pre-filtrado para extraer 2-5 combinaciones de alternativas que pudieran resultar en un robot adecuado</t>
  </si>
  <si>
    <r>
      <t xml:space="preserve">Se identifican las </t>
    </r>
    <r>
      <rPr>
        <b/>
        <sz val="9"/>
        <color theme="1"/>
        <rFont val="Calibri"/>
        <family val="2"/>
        <scheme val="minor"/>
      </rPr>
      <t>alternativas que cumplen la mayoría de los criterios</t>
    </r>
    <r>
      <rPr>
        <sz val="9"/>
        <color theme="1"/>
        <rFont val="Calibri"/>
        <family val="2"/>
        <scheme val="minor"/>
      </rPr>
      <t>.</t>
    </r>
  </si>
  <si>
    <t>Se descartan las que tienen incompatibilidades claras con otros subsistemas.</t>
  </si>
  <si>
    <t>Se discuten las combinaciones más prometedoras</t>
  </si>
  <si>
    <t>Alternativa combinación 1</t>
  </si>
  <si>
    <t>Alternativa combinación 2</t>
  </si>
  <si>
    <t>Alternativa combinación 3</t>
  </si>
  <si>
    <t>Desplazamiento</t>
  </si>
  <si>
    <t>Control</t>
  </si>
  <si>
    <t>Comunicación</t>
  </si>
  <si>
    <t>Organicen los criterios Operacionales y del Sistema por orden de prioridad, asignándoles un peso</t>
  </si>
  <si>
    <t>1 (prescindible), 2 (importante) y 3 (obligatorio)</t>
  </si>
  <si>
    <t>Criterios a alcanzar</t>
  </si>
  <si>
    <t>Peso (w)</t>
  </si>
  <si>
    <t>A este punto, vale preguntarse:</t>
  </si>
  <si>
    <t>¿Qué forma base tendría?</t>
  </si>
  <si>
    <t>¿Cuáles componentes usa la alternativa?</t>
  </si>
  <si>
    <t>¿Dónde irían los componentes?</t>
  </si>
  <si>
    <t>…</t>
  </si>
  <si>
    <t>¿Interactúan los subsistemas como se espera?</t>
  </si>
  <si>
    <t>Criterio N</t>
  </si>
  <si>
    <t>Elegir un concepto</t>
  </si>
  <si>
    <t>Analicen las combinaciones para saber su nivel de compatibilidad con los Criterios de Éxito, según la información que hayan recopilado</t>
  </si>
  <si>
    <t>La valoracíon sigue este esquema:</t>
  </si>
  <si>
    <t>No sabemos</t>
  </si>
  <si>
    <t>Falta info</t>
  </si>
  <si>
    <t>Puede alcanzar</t>
  </si>
  <si>
    <t>Puede sobrepasar</t>
  </si>
  <si>
    <t>Combinación 1</t>
  </si>
  <si>
    <t>Combinación 2</t>
  </si>
  <si>
    <t>Combinación 3</t>
  </si>
  <si>
    <t>Valoración (v)</t>
  </si>
  <si>
    <t>Nota (w∙v)</t>
  </si>
  <si>
    <t xml:space="preserve">Total: </t>
  </si>
  <si>
    <t>Hito 4. Validación y Plan de Implementación</t>
  </si>
  <si>
    <t>Se ha evidenciado que el Concepto  satisface el Problema, las Necesidades y Requerimientos, y se ha distribuido con el equipo el trabajo a llevar para hacerlo realidad a tiempo.</t>
  </si>
  <si>
    <t>- Actualización de productos y evaluación del desempeño del equipo.</t>
  </si>
  <si>
    <t>- Lista de materiales y costos estimados.</t>
  </si>
  <si>
    <t>- Plan detallado de fabricación y ensamblaje.</t>
  </si>
  <si>
    <t>- Evaluación de riesgos técnicos y planes de mitigación.</t>
  </si>
  <si>
    <t>PDR - Preliminary Design Review</t>
  </si>
  <si>
    <t>Preliminary Design Review (PDR)</t>
  </si>
  <si>
    <t>Objetivo: Presentar una arquitectura técnica viable y justificable, junto con una descripción explícita de lo que aún debe investigarse o definirse.</t>
  </si>
  <si>
    <t>Rúbrica de Revisión del Diseño Preliminar</t>
  </si>
  <si>
    <t>1. Diseño funcional y operativo</t>
  </si>
  <si>
    <t>Se presenta un diagrama del sistema con especificaciones preliminares (dimensiones, materiales, componentes) y una tabla que relaciona funciones requeridas con condiciones operativas y cómo se cumplirán.</t>
  </si>
  <si>
    <t>Se presentan especificaciones parciales o sin relacionarlas con las funciones o el entorno de operación.</t>
  </si>
  <si>
    <t>Se presentan propuestas generales o dibujos sin especificaciones ni relación con el entorno o requerimientos.</t>
  </si>
  <si>
    <t>2. Justificación técnica</t>
  </si>
  <si>
    <t>Se documenta cada decisión de diseño (materiales, componentes, geometrías, etc.) con referencias a análisis, simulaciones, datos de pruebas o fuentes consultadas.</t>
  </si>
  <si>
    <t>Se explican algunas decisiones, pero sin referencias o fundamentos técnicos verificables.</t>
  </si>
  <si>
    <t>No se explican las decisiones de diseño o se basan en suposiciones sin respaldo.</t>
  </si>
  <si>
    <t>3. Vacíos y riesgos identificados</t>
  </si>
  <si>
    <t>Se presenta una tabla o lista con elementos no definidos, los riesgos asociados a cada uno, y una estrategia propuesta para resolverlos o investigarlos.</t>
  </si>
  <si>
    <t>Se mencionan algunos vacíos, pero sin análisis de riesgo ni plan de abordaje.</t>
  </si>
  <si>
    <t>No se mencionan vacíos ni riesgos. Se asume el diseño como completo.</t>
  </si>
  <si>
    <t>Se identifican explícitamente las consecuencias técnicas y de implementación de las decisiones de diseño. Se justifican con base en recursos reales disponibles (tiempo, materiales, habilidades). Se describen sus efectos sobre otros subsistemas o sobre el trabajo del equipo, junto con medidas adoptadas para facilitar la colaboración.</t>
  </si>
  <si>
    <t>Se explican parcialmente las consecuencias de algunas decisiones de diseño, pero sin detallar completamente su viabilidad o impacto en otros miembros o subsistemas. Hay conciencia general del realismo de las propuestas, pero con omisiones relevantes..</t>
  </si>
  <si>
    <t>No se analizan o reconocen las consecuencias prácticas de las decisiones de diseño. Las propuestas se presentan sin vinculación con los recursos reales del equipo o sin considerar el impacto sobre los demás subsistemas o integrantes.</t>
  </si>
  <si>
    <t>Evidencias</t>
  </si>
  <si>
    <t>Diagramas (geometría, eléctricos, funcionales, software)</t>
  </si>
  <si>
    <t>Listas de materiales, costos</t>
  </si>
  <si>
    <t>Compatibilidad con Requerimientos</t>
  </si>
  <si>
    <t>Explicaciones de funcionamiento operacional</t>
  </si>
  <si>
    <t>Decisiones de diseño</t>
  </si>
  <si>
    <t>Decisión de Diseño</t>
  </si>
  <si>
    <t xml:space="preserve">Justificación Técnica 
</t>
  </si>
  <si>
    <t>Evidencia Requerida</t>
  </si>
  <si>
    <t>Sensores de Evasión</t>
  </si>
  <si>
    <r>
      <t>Elegir </t>
    </r>
    <r>
      <rPr>
        <b/>
        <sz val="11"/>
        <color rgb="FF1A1A1A"/>
        <rFont val="Calibri"/>
        <family val="2"/>
        <scheme val="minor"/>
      </rPr>
      <t>Sonar Ultrasónico</t>
    </r>
    <r>
      <rPr>
        <sz val="11"/>
        <color rgb="FF1A1A1A"/>
        <rFont val="Calibri"/>
        <family val="2"/>
        <scheme val="minor"/>
      </rPr>
      <t> sobre LIDAR.</t>
    </r>
  </si>
  <si>
    <t>Justificación: Los sonares funcionan bien en agua, son baratos, y su ancho de haz es suficiente para la detección de paredes. El LIDAR no funciona bien bajo el agua (absorción de luz) y el rango es muy limitado.</t>
  </si>
  <si>
    <t>Comparativa de rangos de atenuación de luz vs. sonido en agua.</t>
  </si>
  <si>
    <t>Sistema de Propulsión</t>
  </si>
  <si>
    <r>
      <rPr>
        <sz val="11"/>
        <color rgb="FF000000"/>
        <rFont val="Calibri"/>
        <family val="2"/>
        <scheme val="minor"/>
      </rPr>
      <t>Usar una configuración de </t>
    </r>
    <r>
      <rPr>
        <b/>
        <sz val="11"/>
        <color rgb="FF1A1A1A"/>
        <rFont val="Calibri"/>
        <family val="2"/>
        <scheme val="minor"/>
      </rPr>
      <t>4 propulsores vectoriales</t>
    </r>
    <r>
      <rPr>
        <sz val="11"/>
        <color rgb="FF1A1A1A"/>
        <rFont val="Calibri"/>
        <family val="2"/>
        <scheme val="minor"/>
      </rPr>
      <t> ( verticales,  horizontales) vs. un sistema simple de  propulsores.</t>
    </r>
  </si>
  <si>
    <t>Los  propulsores ofrecen control completo de 2 grados de libertad (DOF: roll, pitch, yaw), que es crítico para la “aproximación suave” y la estabilización en la recolección. El sistema simple solo permite movimientos ,  y profundidad.</t>
  </si>
  <si>
    <t>Análisis de Cinemática y Torque para el control .</t>
  </si>
  <si>
    <t>Vaciós y riesgos</t>
  </si>
  <si>
    <t>Vacío/Elemento No Definido</t>
  </si>
  <si>
    <t>Riesgo Asociado</t>
  </si>
  <si>
    <t>Estrategia de Mitigación/Investigación</t>
  </si>
  <si>
    <t>Material del Manipulador</t>
  </si>
  <si>
    <t>El material elegido (ej. un plástico duro impreso en 3D) podría dañar el objeto si la fuerza de agarre es muy alta (falla en el requisito de suavidad).</t>
  </si>
  <si>
    <t>Investigar y seleccionar un material blando (ej. silicona o espuma) para las puntas del gripper. Realizar pruebas de carga con diferentes materiales de punta para determinar el coeficiente de fricción y el agarre mínimo.</t>
  </si>
  <si>
    <t>Comunicaciones</t>
  </si>
  <si>
    <t>Falla en la comunicación inalámbrica (radio/Wi-Fi) bajo el agua debido a la alta atenuación de las ondas electromagnéticas.</t>
  </si>
  <si>
    <t>Implementar un sistema de comunicación acústica de respaldo (sonar) o depender únicamente del registro de datos interno. Definir un “Comando de Emergencia: Ascender” basado en un temporizador o una señal de superficie de baja frecuencia.</t>
  </si>
  <si>
    <t>Analizando la Tabla de Detalle Operacional que estuvimos trabajando en las semanas 9 y 10, elija cada miembro del equipo un subsistema clave para la misión de su robot y evidencie:</t>
  </si>
  <si>
    <t>1. ¿Cómo se aprovecha y como trabaja el subsistema para hacer las tareas que lo requieren (justificación operativa)?</t>
  </si>
  <si>
    <t>2. ¿Cuál es la justificación técnica que respalda la configuración y selección de los componentes de este subsistema?</t>
  </si>
  <si>
    <t>4. ¿Cuáles cosas observaron en los robots de Fabricación que deben tomar en consideración respecto al funcionamiento y operación de este subsistema y cuáles preguntas quedan por responder al respecto?</t>
  </si>
  <si>
    <t>3. ¿Qué falta por definir o aprender para alcanzar el nivel crítico que describe la rúbrica del Diseño Crítico con este subsistema?</t>
  </si>
  <si>
    <t>5. ¿Cómo considera que pudiera apoyarse en los equipos que compitieron para alcanzar el Diseño Crítico?</t>
  </si>
  <si>
    <t>Tabla de Detalle Operacional</t>
  </si>
  <si>
    <t>Etapas del funcionamiento del robot y cómo se lleva a cabo cada una.</t>
  </si>
  <si>
    <t>Tabla de análisis Pre-CDR</t>
  </si>
  <si>
    <t>Para los subsistemas asignados</t>
  </si>
  <si>
    <t>Evaluador</t>
  </si>
  <si>
    <t>Función(es)</t>
  </si>
  <si>
    <t>Aprovechamiento</t>
  </si>
  <si>
    <t>Detalles técnicos</t>
  </si>
  <si>
    <t>Justificación Técnica</t>
  </si>
  <si>
    <t>Consideraciones observadas</t>
  </si>
  <si>
    <t>Información por investigar</t>
  </si>
  <si>
    <t>Preguntas para los que compitieron</t>
  </si>
  <si>
    <t>Juan Elías</t>
  </si>
  <si>
    <t>Sumersión</t>
  </si>
  <si>
    <t>Sumergir el dispositivo</t>
  </si>
  <si>
    <t>Mantiene el vehículo a una profundidad específica mientras trabaja y cambia la profundidad según la misión, usando la lectura de profundidad para determinar la potencia que se le envía a los propulsores.</t>
  </si>
  <si>
    <t>Cuatro propulsores de 12V y 100W en configuración X, con un driver dedicado para cada uno, controlados por PWM.  Un sensor de presión se usa para estimar la profundidad.</t>
  </si>
  <si>
    <t>Los propulsores son capaces de generar 200 N empuje; para sumergir se necesitan 160 N. Los drivers son enfriados por agua y soportan 180W.</t>
  </si>
  <si>
    <t>Los robots oscilaban alrededor de una profundidad, o se pasaban mucho y tenían que devolverse.</t>
  </si>
  <si>
    <t>Métodos para controlar con precisión la profundidad, y qué afecta la velocidad con que se puede cambiar de profundidad.</t>
  </si>
  <si>
    <t>¿Cuáles métodos probaron antes? ¿Se puede replicar lo que hicieron? ¿Qué otro componente tuvieron que incluir en los cálculos?</t>
  </si>
  <si>
    <t>Planificación</t>
  </si>
  <si>
    <t>Análisis y Manejo de Riesgos y Recursos (tiempo, materiales, etc)</t>
  </si>
  <si>
    <t>Comunicación del Equipo</t>
  </si>
  <si>
    <t>Presupuesto</t>
  </si>
  <si>
    <t>WBS, Diagrama de Gantt</t>
  </si>
  <si>
    <t>Diagrama de Red (y Ruta Crítica)</t>
  </si>
  <si>
    <t>Hito 5. Actualización del Concepto y 
Plan de Pruebas</t>
  </si>
  <si>
    <t>Revisión y actualización de lo diseñado para planificar las pruebas que demostrarán cómo funciona.</t>
  </si>
  <si>
    <t>- Revisión y actualización de productos del proyecto.</t>
  </si>
  <si>
    <t>- Lista de materiales y costos actualizados.</t>
  </si>
  <si>
    <t>- Pruebas iniciales de funcionamiento básico.</t>
  </si>
  <si>
    <t>CDR - Critical Design Review</t>
  </si>
  <si>
    <t>El Hito de Actualización del Concepto y Plan de Pruebas funciona como un Critical Design Review (CDR) —en el sentido del NASA Systems Engineering Handbook—, y su función principal es verificar que el equipo:</t>
  </si>
  <si>
    <t>1. Tiene un diseño final del sistema completamente definido</t>
  </si>
  <si>
    <t>2. Ha validado mediante análisis o pruebas preliminares</t>
  </si>
  <si>
    <t>3. Está listo para fabricar y probar</t>
  </si>
  <si>
    <t xml:space="preserve">4. Ha considerado el realismo de las decisiones de diseño </t>
  </si>
  <si>
    <t>Rúbrica de Revisión del Diseño Crítico</t>
  </si>
  <si>
    <t>Documentación detallada del diseño final</t>
  </si>
  <si>
    <t>Se presentan planos, esquemas, listas de materiales y descripciones técnicas completas para todos los subsistemas, con detalles de fabricación, ensamblaje e integración.</t>
  </si>
  <si>
    <t>Se presentan detalles del diseño, pero incompletos o sin incluir todos los subsistemas. Faltan algunos planos o listas necesarias.</t>
  </si>
  <si>
    <t>El diseño se presenta como bocetos o ideas generales, sin la documentación técnica necesaria para su implementación.</t>
  </si>
  <si>
    <t>Validación técnica del diseño</t>
  </si>
  <si>
    <t>Se incluyen análisis, simulaciones o pruebas funcionales que confirman que el diseño cumple con los requerimientos y condiciones operativas definidas.</t>
  </si>
  <si>
    <t>Se presenta al menos una forma de validación, pero sin cubrir todos los requerimientos o sin suficiente detalle.</t>
  </si>
  <si>
    <t>No se presenta ninguna forma de validación técnica o esta no está conectada a los requerimientos del sistema.</t>
  </si>
  <si>
    <t>Preparación para la fabricación</t>
  </si>
  <si>
    <t>Se incluye un plan detallado de fabricación,  ensamble y pruebas con recursos, tiempos y responsables definidos, así como identificación de riesgos durante la construcción.</t>
  </si>
  <si>
    <t>Se presenta un plan de fabricación general o incompleto, con algunas pruebas poco definidas o sin asignación clara de recursos.</t>
  </si>
  <si>
    <t xml:space="preserve">No se presenta un plan de fabricación y pruebas, o solo se mencionan pasos sin estructura ni asignación de responsabilidades. </t>
  </si>
  <si>
    <t>Realismo del diseño</t>
  </si>
  <si>
    <t>Se explican parcialmente las consecuencias de algunas decisiones de diseño, pero sin detallar completamente su viabilidad o impacto en otros miembros o subsistemas. Hay conciencia general del realismo de las propuestas, pero con omisiones relevantes.</t>
  </si>
  <si>
    <t>Ejemplo de Checklist para alcanzar el Hito</t>
  </si>
  <si>
    <t>1. Documentación detallada del diseño final</t>
  </si>
  <si>
    <t>2. Validación técnica del diseño</t>
  </si>
  <si>
    <r>
      <t>Planos mecánicos</t>
    </r>
    <r>
      <rPr>
        <sz val="10"/>
        <color theme="1"/>
        <rFont val="Calibri"/>
        <family val="2"/>
        <scheme val="minor"/>
      </rPr>
      <t xml:space="preserve"> con dimensiones, materiales y tolerancias especificadas.</t>
    </r>
  </si>
  <si>
    <r>
      <t>Simulaciones en 3D o en 2D</t>
    </r>
    <r>
      <rPr>
        <sz val="10"/>
        <color theme="1"/>
        <rFont val="Calibri"/>
        <family val="2"/>
        <scheme val="minor"/>
      </rPr>
      <t xml:space="preserve"> que muestren cómo el vehículo actuaría.</t>
    </r>
  </si>
  <si>
    <r>
      <t>Esquema eléctrico</t>
    </r>
    <r>
      <rPr>
        <sz val="10"/>
        <color theme="1"/>
        <rFont val="Calibri"/>
        <family val="2"/>
        <scheme val="minor"/>
      </rPr>
      <t xml:space="preserve"> con conexiones, alimentación, controladores y protecciones.</t>
    </r>
  </si>
  <si>
    <r>
      <t>Análisis de reacción e interacción</t>
    </r>
    <r>
      <rPr>
        <sz val="10"/>
        <color theme="1"/>
        <rFont val="Calibri"/>
        <family val="2"/>
        <scheme val="minor"/>
      </rPr>
      <t xml:space="preserve"> para justificar elección de forma y materiales.</t>
    </r>
  </si>
  <si>
    <r>
      <t>Lista de materiales (BOM)</t>
    </r>
    <r>
      <rPr>
        <sz val="10"/>
        <color theme="1"/>
        <rFont val="Calibri"/>
        <family val="2"/>
        <scheme val="minor"/>
      </rPr>
      <t xml:space="preserve"> con cantidades, modelos, precios y proveedores.</t>
    </r>
  </si>
  <si>
    <r>
      <t>Cálculo de consumo eléctrico estimado</t>
    </r>
    <r>
      <rPr>
        <sz val="10"/>
        <color theme="1"/>
        <rFont val="Calibri"/>
        <family val="2"/>
        <scheme val="minor"/>
      </rPr>
      <t xml:space="preserve"> y validación de autonomía.</t>
    </r>
  </si>
  <si>
    <r>
      <t>Diagramas de integración</t>
    </r>
    <r>
      <rPr>
        <sz val="10"/>
        <color theme="1"/>
        <rFont val="Calibri"/>
        <family val="2"/>
        <scheme val="minor"/>
      </rPr>
      <t xml:space="preserve"> que muestren cómo se conectan e interactúan los subsistemas.</t>
    </r>
  </si>
  <si>
    <r>
      <t>Ensayos de prueba de subsistemas</t>
    </r>
    <r>
      <rPr>
        <sz val="10"/>
        <color theme="1"/>
        <rFont val="Calibri"/>
        <family val="2"/>
        <scheme val="minor"/>
      </rPr>
      <t xml:space="preserve"> para demostrar características especiales.</t>
    </r>
  </si>
  <si>
    <r>
      <t>Guías para fabricación y ensamblaje</t>
    </r>
    <r>
      <rPr>
        <sz val="10"/>
        <color theme="1"/>
        <rFont val="Calibri"/>
        <family val="2"/>
        <scheme val="minor"/>
      </rPr>
      <t xml:space="preserve"> o flujograma detallado.</t>
    </r>
  </si>
  <si>
    <r>
      <t xml:space="preserve">Justificación del diseño ante los requerimientos </t>
    </r>
    <r>
      <rPr>
        <sz val="10"/>
        <color theme="1"/>
        <rFont val="Calibri"/>
        <family val="2"/>
        <scheme val="minor"/>
      </rPr>
      <t>(velocidad, precisión, estabilidad, etc.)</t>
    </r>
  </si>
  <si>
    <r>
      <t>Diagramas de flujo del software</t>
    </r>
    <r>
      <rPr>
        <sz val="10"/>
        <color theme="1"/>
        <rFont val="Calibri"/>
        <family val="2"/>
        <scheme val="minor"/>
      </rPr>
      <t>, incluyendo comportamientos en esenciales.</t>
    </r>
  </si>
  <si>
    <r>
      <t>Matriz de trazabilidad</t>
    </r>
    <r>
      <rPr>
        <sz val="10"/>
        <color theme="1"/>
        <rFont val="Calibri"/>
        <family val="2"/>
        <scheme val="minor"/>
      </rPr>
      <t xml:space="preserve"> que conecta requerimientos con características del diseño.</t>
    </r>
  </si>
  <si>
    <t>3. Preparación para la fabricación</t>
  </si>
  <si>
    <t>4. Realismo del diseño (Individual)</t>
  </si>
  <si>
    <r>
      <t>Cronograma de construcción</t>
    </r>
    <r>
      <rPr>
        <sz val="10"/>
        <color theme="1"/>
        <rFont val="Calibri"/>
        <family val="2"/>
        <scheme val="minor"/>
      </rPr>
      <t xml:space="preserve"> con fechas y responsables para cada parte del ensamblaje.</t>
    </r>
  </si>
  <si>
    <r>
      <t xml:space="preserve">Documetar decisiones de diseo </t>
    </r>
    <r>
      <rPr>
        <sz val="10"/>
        <color theme="1"/>
        <rFont val="Calibri"/>
        <family val="2"/>
        <scheme val="minor"/>
      </rPr>
      <t>que afectan a otros subsistemas (p. ej., el espacio que ocupa un sistema o la ubicación de sensores, algo que se verá limitado).</t>
    </r>
  </si>
  <si>
    <r>
      <t>Plan de adquisición</t>
    </r>
    <r>
      <rPr>
        <sz val="10"/>
        <color theme="1"/>
        <rFont val="Calibri"/>
        <family val="2"/>
        <scheme val="minor"/>
      </rPr>
      <t xml:space="preserve"> de materiales, considerando plazos de entrega y disponibilidad.</t>
    </r>
  </si>
  <si>
    <r>
      <t>Identificación de pasos críticos</t>
    </r>
    <r>
      <rPr>
        <sz val="10"/>
        <color theme="1"/>
        <rFont val="Calibri"/>
        <family val="2"/>
        <scheme val="minor"/>
      </rPr>
      <t xml:space="preserve"> que pueden generar retrasos o errores.</t>
    </r>
  </si>
  <si>
    <r>
      <t>Justificación de decisiones con base en recursos reales</t>
    </r>
    <r>
      <rPr>
        <sz val="10"/>
        <color theme="1"/>
        <rFont val="Calibri"/>
        <family val="2"/>
        <scheme val="minor"/>
      </rPr>
      <t xml:space="preserve"> (materiales disponibles, presupuesto, habilidades del equipo).</t>
    </r>
  </si>
  <si>
    <r>
      <t>Lista de herramientas y equipos requeridos</t>
    </r>
    <r>
      <rPr>
        <sz val="10"/>
        <color theme="1"/>
        <rFont val="Calibri"/>
        <family val="2"/>
        <scheme val="minor"/>
      </rPr>
      <t xml:space="preserve"> para fabricar, ensamblar y probar.</t>
    </r>
  </si>
  <si>
    <r>
      <t>Roles asignados</t>
    </r>
    <r>
      <rPr>
        <sz val="10"/>
        <color theme="1"/>
        <rFont val="Calibri"/>
        <family val="2"/>
        <scheme val="minor"/>
      </rPr>
      <t xml:space="preserve"> para fabricación e integración por miembro del equipo.</t>
    </r>
  </si>
  <si>
    <r>
      <t>Discusión de limitaciones del diseño</t>
    </r>
    <r>
      <rPr>
        <sz val="10"/>
        <color theme="1"/>
        <rFont val="Calibri"/>
        <family val="2"/>
        <scheme val="minor"/>
      </rPr>
      <t xml:space="preserve"> que fueron aceptadas por el equipo para poder avanzar (ej. sacrificio de velocidad por mayor control).</t>
    </r>
  </si>
  <si>
    <r>
      <t xml:space="preserve">Plan para validar </t>
    </r>
    <r>
      <rPr>
        <sz val="10"/>
        <color theme="1"/>
        <rFont val="Calibri"/>
        <family val="2"/>
        <scheme val="minor"/>
      </rPr>
      <t>que el ensamble se haya hecho correctamente.</t>
    </r>
  </si>
  <si>
    <r>
      <t>Descripción de cómo se adaptó el diseño al rol de cada miembro</t>
    </r>
    <r>
      <rPr>
        <sz val="10"/>
        <color theme="1"/>
        <rFont val="Calibri"/>
        <family val="2"/>
        <scheme val="minor"/>
      </rPr>
      <t>, respetando capacidades y tiempos de cada uno.</t>
    </r>
  </si>
  <si>
    <r>
      <t xml:space="preserve">Reflexiónes </t>
    </r>
    <r>
      <rPr>
        <sz val="10"/>
        <color theme="1"/>
        <rFont val="Calibri"/>
        <family val="2"/>
        <scheme val="minor"/>
      </rPr>
      <t>sobre cómo las decisiones tomadas pueden facilitar o dificultar las pruebas y la competencia.</t>
    </r>
  </si>
  <si>
    <t>Hito 6. Prototipo Funcional</t>
  </si>
  <si>
    <t>Se ha validado el cumplimiento de los requerimientos básicos del robot y del proyecto.</t>
  </si>
  <si>
    <t>- Integración del hardware y software.</t>
  </si>
  <si>
    <t>- Pruebas de las capacidades requeridas.</t>
  </si>
  <si>
    <t>- Registro de problemas encontrados y soluciones aplicadas.</t>
  </si>
  <si>
    <t>- Ajustes realizados al concepto actualizado.</t>
  </si>
  <si>
    <t>SIR - System Integration Review</t>
  </si>
  <si>
    <t>Rúbrica de Revisión del Integración del Sistema</t>
  </si>
  <si>
    <t>1. Plan de integración de subsistemas</t>
  </si>
  <si>
    <t>Se presenta una secuencia detallada de integración con orden lógico, puntos de prueba por etapa, responsables y criterios de éxito definidos por subsistema.</t>
  </si>
  <si>
    <t>Se presenta una secuencia general de integración con algunos puntos de prueba o responsables sin detallar del todo.</t>
  </si>
  <si>
    <t>No hay plan estructurado de integración, o se menciona de forma superficial sin vinculación entre subsistemas.</t>
  </si>
  <si>
    <t>2. Estrategia de validación del sistema integrado</t>
  </si>
  <si>
    <t>Se define una batería de pruebas funcionales, operacionales y de desempeño con procedimientos, herramientas y criterios de éxito vinculados a los requerimientos.</t>
  </si>
  <si>
    <t>Se listan algunas pruebas, pero sin procedimientos o sin criterios claros de validación.</t>
  </si>
  <si>
    <t>No se definen pruebas o validaciones específicas, o no están conectadas con los requerimientos del sistema.</t>
  </si>
  <si>
    <t>3. Identificación de riesgos en la integración</t>
  </si>
  <si>
    <t>Se presenta una lista de riesgos técnicos o logísticos para la integración, con acciones de mitigación y monitoreo.</t>
  </si>
  <si>
    <t>Se mencionan algunos riesgos, pero sin planes claros de mitigación o seguimiento.</t>
  </si>
  <si>
    <t>No se identifican riesgos ni se presentan estrategias para resolver problemas durante la integración.</t>
  </si>
  <si>
    <t>4. Realismo del diseño</t>
  </si>
  <si>
    <t xml:space="preserve">Cada miembro demuestra consciencia clara y crítica sobre las limitaciones del plan y reconoce el impacto operativo y logístico de las tareas asignadas. </t>
  </si>
  <si>
    <t>Cada miembro identifica algunas limitaciones en el plan y menciona algún impacto logístio u operativo, pero sin análisis profundo de su responsabilidad.</t>
  </si>
  <si>
    <t>Algún miembro falla en reconocer las limitaciones del plan. No demuestra consciencia de las implicaciones prácticas de su trabajo en el plan.</t>
  </si>
  <si>
    <t>Hito 7. Pruebas y Ajustes de Competencia</t>
  </si>
  <si>
    <t>Se ha validado el cumplimiento de los requerimientos de diseño con un robot que puede competir contra otros.</t>
  </si>
  <si>
    <t>- Evaluación del desempeño en condiciones de competencia.</t>
  </si>
  <si>
    <t>- Análisis de capacidades del software de control y mecánica.</t>
  </si>
  <si>
    <t>- Preparaciones para Competencia.</t>
  </si>
  <si>
    <t>ORR - Operational Readiness Review</t>
  </si>
  <si>
    <t>Rúbrica de Revisión de Operatividad del Sistema</t>
  </si>
  <si>
    <t>1. Validación del desempeño esperado</t>
  </si>
  <si>
    <t>Evidencias de pruebas sistemáticas que demuestran que el robot cumple con los requerimientos funcionales y de desempeño definidos por la competencia, en escenarios representativos.</t>
  </si>
  <si>
    <t>Pruebas limitadas a condiciones controladas, con resultados funcionales parciales; se identifican algunos riesgos que no han sido mitigados.</t>
  </si>
  <si>
    <t>No hay pruebas integrales o no se evidencia cumplimiento del desempeño requerido; los riesgos operativos permanecen sin tratar.</t>
  </si>
  <si>
    <t>2. Preparación para condiciones del entorno real</t>
  </si>
  <si>
    <t>Se han documentado pruebas en condiciones físicas, ambientales y logísticas similares a las de la competencia (e.g. profundidad, visibilidad, obstáculos); se han implementado adaptaciones específicas y planes de contingencia.</t>
  </si>
  <si>
    <t>Las pruebas consideran algunos aspectos del entorno de competencia, pero no todos; las adaptaciones o contingencias son incompletas o no están validadas.</t>
  </si>
  <si>
    <t>El entorno de competencia no ha sido considerado suficientemente en las pruebas ni en el diseño final.</t>
  </si>
  <si>
    <t>3. Capacidad operativa del equipo técnico</t>
  </si>
  <si>
    <t>El equipo demuestra dominio de las rutinas de despliegue, operación y recuperación del robot; hay procedimientos claros, roles definidos y evidencia de ejecución en pruebas simuladas o reales.</t>
  </si>
  <si>
    <t>Se ha desarrollado un procedimiento básico de operación, pero el equipo aún presenta fallas o dependencia de ciertos miembros clave.</t>
  </si>
  <si>
    <t>No hay claridad en los procedimientos ni roles; el equipo depende de intervención externa para operar el sistema.</t>
  </si>
  <si>
    <t>Cada miembro demuestra consciencia clara y crítica sobre las limitaciones del sistema en condiciones de competencia y reconoce el impacto operativo y logístico del diseño. Presenta análisis de riesgos, posibles fallos y planes de contingencia viables.</t>
  </si>
  <si>
    <t>Cada miembroidentifica algunas limitaciones del sistema y menciona riesgos generales, pero sin análisis profundo ni acciones concretas de mitigación. Su percepción del impacto operativo es parcial.</t>
  </si>
  <si>
    <t>Algún miembro asume que el sistema funcionará como se diseñó sin contemplar fallos ni incertidumbre. No demuestra consciencia del entorno real ni de las implicaciones prácticas de su diseño.</t>
  </si>
  <si>
    <t>S12</t>
  </si>
  <si>
    <t>S13</t>
  </si>
  <si>
    <t>S14</t>
  </si>
  <si>
    <t>S15</t>
  </si>
  <si>
    <t>Análisis/Combinaciones</t>
  </si>
  <si>
    <t>Ideas/Componentes</t>
  </si>
  <si>
    <t>Diagramas/Esquemas</t>
  </si>
  <si>
    <t>2/feb a 8/feb</t>
  </si>
  <si>
    <t>9/feb a 15/feb</t>
  </si>
  <si>
    <t>16/feb a 22/feb</t>
  </si>
  <si>
    <t>23/feb a 1/mar</t>
  </si>
  <si>
    <t>2/mar a 8/mar</t>
  </si>
  <si>
    <t>9/mar a 15/mar</t>
  </si>
  <si>
    <t>16/mar a 22/mar</t>
  </si>
  <si>
    <t>23/mar a 29/mar</t>
  </si>
  <si>
    <t>30/mar a 5/abril</t>
  </si>
  <si>
    <t>6/abril a 12/abril</t>
  </si>
  <si>
    <t>13/abril a 19/abril</t>
  </si>
  <si>
    <t>20/abril a 26/abril</t>
  </si>
  <si>
    <t>27/abril a 3/may</t>
  </si>
  <si>
    <t>4/may a 10/mayo</t>
  </si>
  <si>
    <t>11/may a 17/may</t>
  </si>
  <si>
    <t>18/may a 24/may</t>
  </si>
  <si>
    <t>25/may a 31/may</t>
  </si>
  <si>
    <t>S16</t>
  </si>
  <si>
    <t>S17</t>
  </si>
  <si>
    <t>Robot Operacional (Simulación de la competencia)</t>
  </si>
  <si>
    <t>LIMITE INSCRIPCION</t>
  </si>
  <si>
    <t>COMPETENCIA NACIONAL</t>
  </si>
  <si>
    <t>HiLetgo 20pcs 5MM foto transistor fototransistor PT334-6C Fototransistor Fototransistor redondo F5 3V</t>
  </si>
  <si>
    <t>https://a.co/d/6PqTqqK</t>
  </si>
  <si>
    <t>WayPonDEV LD14P 2D 360 grados Lidar 2300Hz 26.2 ft Radio de exploración Distancia Lidar Sensor Triangulación Escáner para Robot Evitar Obstáculos Autopilot Navegación</t>
  </si>
  <si>
    <t>https://a.co/d/jgstoCK</t>
  </si>
  <si>
    <t>https://a.co/d/6KmNTHS</t>
  </si>
  <si>
    <t>Freenove Placa de ruptura para ESP32 / ESP32-S3 WROVER WROOM, sombrero de escudo de bloque de terminales con cabezal de pin, salidas de alimentación de 5 V 3.3 V, LED de estado GPIO</t>
  </si>
  <si>
    <t>https://a.co/d/erLdHud</t>
  </si>
  <si>
    <t>FREENOVE Placa ESP32-WROOM (paquete de 2), microcontrolador de doble núcleo de 32 bits a 240 MHz, inalámbrico integrado, código Python C, tutorial de proyectos de ejemplo</t>
  </si>
  <si>
    <t>https://a.co/d/bUaVRkL</t>
  </si>
  <si>
    <t>Freenove Placa ESP32-WROVER CAM, Microcontrolador de doble núcleo de 32 bits a 240 MHz, cámara a bordo inalámbrica, código Python C, tutorial de proyectos de ejemplo</t>
  </si>
  <si>
    <t>https://a.co/d/hosEdzq</t>
  </si>
  <si>
    <t>DS3231 AT24C32 IIC RTC Module Reloj Temporizador Módulo de memoria Beats Replace DS1307 I2C RTC Board (pilas no incluidas) + 20 cables de puente macho a hembra</t>
  </si>
  <si>
    <t>https://a.co/d/cA8Ew5N</t>
  </si>
  <si>
    <t>waveshare Sensor de magnetómetro de 3 ejes BMM150, sensor de brújula digital, medición de campo magnético, interfaz I2C/SPI, soporte Raspberry Pi/Raspberry Pi Pico/Ardu/ESP32</t>
  </si>
  <si>
    <t>https://a.co/d/cd4GeR1</t>
  </si>
  <si>
    <t>RYLR993_lite RYLR993 868/915MHz LoRaWAN® y patentado módulo de antena transceptor de modo dual de larga distancia! Certificación FCC CE MIC NCC</t>
  </si>
  <si>
    <t>https://a.co/d/icDF5fv</t>
  </si>
  <si>
    <t>DieseRC DC 12V 24V 30V Interruptor de control remoto seguro universal inalámbrico 433Mhz Rf 10A Relé receptor Junta con 2 transmisores clave para puerta de puerta de luz de motor DIY controlador</t>
  </si>
  <si>
    <t>https://a.co/d/bJMaoym</t>
  </si>
  <si>
    <t>Motor de hélice subacuático del motor del motor del propulsor del barco de RC para la nave de RC Accs, CW CCW</t>
  </si>
  <si>
    <t>https://a.co/d/gwSlMTs</t>
  </si>
  <si>
    <t>Teyleten Robot Convertidor de nivel lógico de 4 canales cambiador de módulo bidireccional I2C IIC 3.3V - 5V para Arduino 10PCS</t>
  </si>
  <si>
    <t>https://a.co/d/3yzsWzL</t>
  </si>
  <si>
    <t>VLM-650-03 LPA módulo láser económico</t>
  </si>
  <si>
    <t>https://a.co/d/fkc9Jh5</t>
  </si>
  <si>
    <t>Paquete de 2 tarjetas TF de 8 GB con adaptador, tarjeta de memoria de alta velocidad, UHS-I C10 A1 tarjeta TF de memoria para tablet/teléfono móvil/cámara/audio de automóvil/consola de juegos (TF162</t>
  </si>
  <si>
    <t>https://a.co/d/2V3pE4r</t>
  </si>
  <si>
    <t>4 unids TOF400C VL53L1X 4M láser módulo sensor TOF tiempo de vuelo distancia salida IIC para Arduino STM32</t>
  </si>
  <si>
    <t>https://a.co/d/4y0owfb</t>
  </si>
  <si>
    <t>https://a.co/d/bx74lfh</t>
  </si>
  <si>
    <t>20pcs UA741CN UA741 Amplificador operacional único de uso general 18V, tubo de inmersión de plástico 8pins</t>
  </si>
  <si>
    <t>https://a.co/d/goO057H</t>
  </si>
  <si>
    <t>0.492 in 300Rpm 6 alambres CIRCUITSx2A cápsula eléctrica anillo colectando para monitor equipo de prueba eléctrico robótico 1 unids</t>
  </si>
  <si>
    <t>https://a.co/d/hP6mP19</t>
  </si>
  <si>
    <t xml:space="preserve">pendiente </t>
  </si>
  <si>
    <t>Creality Filamento para impresora 3D, filamento PLA de 0.069 pulgadas, paquete de 4.4 lbs para impresión 3D, filamento de ácido poliláctico Ender sin enredos, fuerte adherencia y rendimiento de</t>
  </si>
  <si>
    <t>https://a.co/d/0cAX82p</t>
  </si>
  <si>
    <t>Image</t>
  </si>
  <si>
    <t>Item</t>
  </si>
  <si>
    <t>Link</t>
  </si>
  <si>
    <t>Price p/u</t>
  </si>
  <si>
    <t>Quantity</t>
  </si>
  <si>
    <t>Total</t>
  </si>
  <si>
    <t>LM2596 LM2596S DC-DC Buck Converter Adjustable Voltage Regulator 4.0–40V to 1.25–37V 2A Power Supply Module with LED Display Voltmeter</t>
  </si>
  <si>
    <t>Flexible Silicone Wire Electrical Cable (6 Spools of 23 ft in Different Colors), 600 V High-Temperature Resistant Stranded Wire</t>
  </si>
  <si>
    <t>Concepto/retos</t>
  </si>
  <si>
    <t>INICIO DE FABRICACIÓN</t>
  </si>
  <si>
    <t>Requirement description</t>
  </si>
  <si>
    <t>Conceptualization</t>
  </si>
  <si>
    <t>Milestone 1. Problem and Design Requirements</t>
  </si>
  <si>
    <t>Problem description and context</t>
  </si>
  <si>
    <t>Description</t>
  </si>
  <si>
    <t>Concept</t>
  </si>
  <si>
    <t>Having a precise list of imposed requirements and the team specifications for the robot, and a scheme of functions to design to search for an answer.</t>
  </si>
  <si>
    <t xml:space="preserve"> - Solutions for functions alternatives, pros and cons</t>
  </si>
  <si>
    <t>- Sketches and preliminar diagrams of the robot.</t>
  </si>
  <si>
    <t>- Precise requirements and specifications of the robot.</t>
  </si>
  <si>
    <t>- Experimentation plan for validation and key functions selection</t>
  </si>
  <si>
    <t>Verification Review</t>
  </si>
  <si>
    <t>Verification criteria</t>
  </si>
  <si>
    <t>Test method</t>
  </si>
  <si>
    <r>
      <t xml:space="preserve">Goal: </t>
    </r>
    <r>
      <rPr>
        <sz val="11"/>
        <color theme="1"/>
        <rFont val="Calibri"/>
        <family val="2"/>
        <scheme val="minor"/>
      </rPr>
      <t>Evaluate if the team has defined clear, completes and trazable functional and operational requirements based on the problem presented.</t>
    </r>
  </si>
  <si>
    <t>The robot must start autonomously after the start button is activated​</t>
  </si>
  <si>
    <t>The robot must navigate the track without human intervention​</t>
  </si>
  <si>
    <t>The robot must detect traffic pillars during operation​</t>
  </si>
  <si>
    <t>The robot must avoid moving or touching traffic signs​</t>
  </si>
  <si>
    <t>The robot must remain within the track boundaries while driving​</t>
  </si>
  <si>
    <t>The robot must adapt to either clockwise or counterclockwise driving direction​</t>
  </si>
  <si>
    <t>The robot must complete three laps continuously in a single run​</t>
  </si>
  <si>
    <t>The robot must complete the mission within the allowed attempt time​</t>
  </si>
  <si>
    <t>Needs</t>
  </si>
  <si>
    <t>Subsystem</t>
  </si>
  <si>
    <t>Functional</t>
  </si>
  <si>
    <t>Subsystems</t>
  </si>
  <si>
    <t>The robot must operate fully autonomously after the start button is pressed​</t>
  </si>
  <si>
    <t>The robot must begin the attempt from a stationary powered-off state​</t>
  </si>
  <si>
    <t>The robot must not receive external communication or control during therun​</t>
  </si>
  <si>
    <t>Rules and Strategy</t>
  </si>
  <si>
    <t>Documentation</t>
  </si>
  <si>
    <t>Mobility and Mechanics</t>
  </si>
  <si>
    <t>Software and Controls</t>
  </si>
  <si>
    <t>Electronics Architecture</t>
  </si>
  <si>
    <t>The robot must operate with randomly placed traffic pillars ​</t>
  </si>
  <si>
    <t>The robot must operate using only onboard sensors and processing ​</t>
  </si>
  <si>
    <t xml:space="preserve">Real-time detection of traffic pillars and track boundaries </t>
  </si>
  <si>
    <t>Autonomous decision-making without external input</t>
  </si>
  <si>
    <t>Adaptive navigation in unknown track configurations</t>
  </si>
  <si>
    <t>Stable lane following and obstacle avoidance</t>
  </si>
  <si>
    <t>Reliable operation across multiple laps</t>
  </si>
  <si>
    <t>Accurate localization of the parking zone</t>
  </si>
  <si>
    <t>Precise low-speed maneuvering for parallel parking</t>
  </si>
  <si>
    <t>Operation within competition procedure and time limits</t>
  </si>
  <si>
    <t>The vehicle dimensions must not exceed 300 × 200 × 300 mm (L × W × H) ​</t>
  </si>
  <si>
    <t>The vehicle weight must not exceed 1.5 kg ​</t>
  </si>
  <si>
    <t>The robot must be a four-wheeled vehicle ​</t>
  </si>
  <si>
    <t>The vehicle must have one steering actuator ​</t>
  </si>
  <si>
    <t>The vehicle must have one driven axle (front-wheel drive or four-wheeldrive allowed); differential wheeled robots are not allowed. ​</t>
  </si>
  <si>
    <t>Electronic differential drive (one motor per side) is not allowed​</t>
  </si>
  <si>
    <t>Omnidirectional wheels, spherical wheels, and ball casters are not allowed ​</t>
  </si>
  <si>
    <t>The vehicle shall not exceed overall dimensions of 300 mm in length, 200 mm in width, and 300 mm in height .</t>
  </si>
  <si>
    <t>The maximum weigth is 1.5 kg.</t>
  </si>
  <si>
    <t>The vehicle can't use differential drive.</t>
  </si>
  <si>
    <t>The vehicle can use a maximum of 2 driving motors. Mechanically coupled.</t>
  </si>
  <si>
    <t>The vehicle shall not use any type of omnidirectional wheel, ball caster, or spherical wheel.</t>
  </si>
  <si>
    <t xml:space="preserve">The documentation must be uploaded to a public repository on GitHub. </t>
  </si>
  <si>
    <t>The repository must contain discussion, information and motivation for the engineering decisions made; photos of the vehicle, a team photo, URL to a video showing the vehicle driving autonomously and any CAD models.</t>
  </si>
  <si>
    <t>We should make at least 3 commits to the repository, at least 2 months before the competition.</t>
  </si>
  <si>
    <t>We must include a README.md file with a description of the designed solution. This description should clarify the function of each code module.</t>
  </si>
  <si>
    <t>The vehicle must be able to identify the traffic signs on the field and turn lanes based on their color. (red for right side and green for left side).</t>
  </si>
  <si>
    <t>The vehicle must do 3 laps.</t>
  </si>
  <si>
    <t>The vehicle CAN’T move a traffic sign out of its place.</t>
  </si>
  <si>
    <t>The vehicle should parallel park in a designated spot after completing the 3 laps.</t>
  </si>
  <si>
    <t>Main control unit (SBC and/or SBM) capable of processing sensor data and executing real-time control algorithms (RTOS-capable).</t>
  </si>
  <si>
    <t>Stable electrical power supply system ensuring continuous operation throughout the entire round.</t>
  </si>
  <si>
    <t>Exclusive use of wired connections between electronic components.</t>
  </si>
  <si>
    <t>Single power-on button and a single program start button.</t>
  </si>
  <si>
    <t>Challenge</t>
  </si>
  <si>
    <t>Open Challenge</t>
  </si>
  <si>
    <t>Obstacle Challenge</t>
  </si>
  <si>
    <t>Used for</t>
  </si>
  <si>
    <t>The vehicle must be able to detect the walls and avoid them.</t>
  </si>
  <si>
    <t>Goals</t>
  </si>
  <si>
    <t>Success Criteria</t>
  </si>
  <si>
    <t>System requirements</t>
  </si>
  <si>
    <t xml:space="preserve">Achieve the fastest possible completion time while maintaining correct behavior. </t>
  </si>
  <si>
    <t>Perform reliably (can complete the course and the requirements multiple times) and precisely (maintain accurate and collision-free navigation throughout the run).</t>
  </si>
  <si>
    <t>Commit our progress every time we make a change in code, the vehicle or CAD files.</t>
  </si>
  <si>
    <t>Our commit description should be descriptive enough that every member of the team can understand what was changed.</t>
  </si>
  <si>
    <t>Develop a mechanical chassis and mobility system capable of providing controlled forward, backward, and steering motion within competition-defined limits on size, mass, drivetrain configuration, and wheel architecture.</t>
  </si>
  <si>
    <t>Constraint Description</t>
  </si>
  <si>
    <t>Complete the 3 laps without touching or ignoring any traffic signs.</t>
  </si>
  <si>
    <t>The code must be fully commented, explaining the function of each module.</t>
  </si>
  <si>
    <t>The robot completes the full mission autonomously, correctly navigating obstacles and staying within the track without collisions. ​</t>
  </si>
  <si>
    <t xml:space="preserve">The robot successfully locates and performs parallel parking within the allowed time limit. </t>
  </si>
  <si>
    <t>Our repository should be understood by people that didn’t work on the project.</t>
  </si>
  <si>
    <t>All sensing and processing must be onboard the robot​</t>
  </si>
  <si>
    <t>External computation devices are not allowed​</t>
  </si>
  <si>
    <t>External control or communication during the run is not allowed (allwireless communication interfaces must remain disabled)​</t>
  </si>
  <si>
    <t>Only one start button and one power switch may be used to begin the run ​</t>
  </si>
  <si>
    <t>No manual parameter input is allowed after the start signal ​</t>
  </si>
  <si>
    <t>The robot must use onboard computing hardware (SBC and/ormicrocontroller)​</t>
  </si>
  <si>
    <t>The robot must not intentionally move or manipulate traffic pillars ​</t>
  </si>
  <si>
    <t>The robot must not damage the track or competition elements ​</t>
  </si>
  <si>
    <t>All the traffic signs are detected, and the vehicle makes the right choice a 100% of the times.</t>
  </si>
  <si>
    <t>The fully assembled vehicle remains within the specified dimensional and mass limits</t>
  </si>
  <si>
    <t>The vehicle uses an approved drivetrain and wheel configuration, and completes all required driving and steering maneuvers during testing with no structural damage or loss of mobility.</t>
  </si>
  <si>
    <t>System Constraints</t>
  </si>
  <si>
    <t>After the button is activated, the robot starts moving in accord of its mission</t>
  </si>
  <si>
    <t>Requirement Types</t>
  </si>
  <si>
    <t>Operational</t>
  </si>
  <si>
    <t>No traffic signs are touched, moved or dropped</t>
  </si>
  <si>
    <t>Requirement Type</t>
  </si>
  <si>
    <t>The robot must fit completely inside the parking area during parking evaluation ​</t>
  </si>
  <si>
    <t>Type of Constraint</t>
  </si>
  <si>
    <t xml:space="preserve"> </t>
  </si>
  <si>
    <t>Completes 3 laps after start without external interaction</t>
  </si>
  <si>
    <t>Full mission run observation</t>
  </si>
  <si>
    <t>Robot alters trajectory before reaching each pillar</t>
  </si>
  <si>
    <t>Video review frame-by-frame</t>
  </si>
  <si>
    <t>The robot must determine the correct passing side according to pillar color</t>
  </si>
  <si>
    <t>Passes every pillar on the rule-correct side</t>
  </si>
  <si>
    <t>Judge observation checklist</t>
  </si>
  <si>
    <t>Field inspection</t>
  </si>
  <si>
    <t>No wheel exits track boundary lines</t>
  </si>
  <si>
    <t>Video review</t>
  </si>
  <si>
    <t xml:space="preserve">Completes a valid lap in both directions across trials </t>
  </si>
  <si>
    <t>Two test runs in opposite direction</t>
  </si>
  <si>
    <t>3 laps completed sequentially without reset</t>
  </si>
  <si>
    <t xml:space="preserve">Judge observation </t>
  </si>
  <si>
    <t>¿Who has it?</t>
  </si>
  <si>
    <t>Detect parking zone after lap 3</t>
  </si>
  <si>
    <t>Robot changes behavior only after third lap</t>
  </si>
  <si>
    <t>Run observation</t>
  </si>
  <si>
    <t xml:space="preserve">Robot must perform parallel parking </t>
  </si>
  <si>
    <t>The entire robot is inside parking area boundaries and no walls are displaced</t>
  </si>
  <si>
    <t>Field measurment</t>
  </si>
  <si>
    <t>Mission completed before 180 seconds</t>
  </si>
  <si>
    <t>Timer measurement</t>
  </si>
  <si>
    <t>Restriction Type</t>
  </si>
  <si>
    <t>Restriction Types</t>
  </si>
  <si>
    <t>Logistical</t>
  </si>
  <si>
    <t>Technical</t>
  </si>
  <si>
    <t>Restriction Description</t>
  </si>
  <si>
    <t>Member affected</t>
  </si>
  <si>
    <t>Team Member</t>
  </si>
  <si>
    <t>Reymildo Jiménez</t>
  </si>
  <si>
    <t>Montserrat Benavides</t>
  </si>
  <si>
    <t>Luis Miguel Minier</t>
  </si>
  <si>
    <t xml:space="preserve">The robor must follow the defined driving direction </t>
  </si>
  <si>
    <t>No reverse lap counted</t>
  </si>
  <si>
    <t>All of them</t>
  </si>
  <si>
    <t>Restrictions</t>
  </si>
  <si>
    <t>The robot must stop after succesful parking</t>
  </si>
  <si>
    <t xml:space="preserve">Motors stop within 2 seconds after parking </t>
  </si>
  <si>
    <t>We have only 17 weeks to design and manufacture a robot for the national competition.</t>
  </si>
  <si>
    <t>Stopwatch</t>
  </si>
  <si>
    <t>Limited knowledge of machine learning.</t>
  </si>
  <si>
    <t>No human contact after its start</t>
  </si>
  <si>
    <t>Judge observation</t>
  </si>
  <si>
    <t>Robot motion begins only after start signal</t>
  </si>
  <si>
    <t>Legends</t>
  </si>
  <si>
    <t>Start procedure observation</t>
  </si>
  <si>
    <t xml:space="preserve">No external packets detected </t>
  </si>
  <si>
    <t>A constrained schedule due to academic and work commitments.</t>
  </si>
  <si>
    <t>Wireless scanner / inspection</t>
  </si>
  <si>
    <t xml:space="preserve">No parameter changes during run </t>
  </si>
  <si>
    <t>Limited mobility due to the lack of a valid U.S. visa.</t>
  </si>
  <si>
    <t>Multiple runs</t>
  </si>
  <si>
    <t>Is it self imposed?</t>
  </si>
  <si>
    <t xml:space="preserve">The robot must adapt to a randomly assigned starting position ​and driving direction </t>
  </si>
  <si>
    <t>Succesful run from ≥2 different start tiles and run directions</t>
  </si>
  <si>
    <t>Succesful runs with changed obstacle configurations</t>
  </si>
  <si>
    <t>We want to spend as little as possible. Reusing components that we already have from other projects.</t>
  </si>
  <si>
    <t>Multiple and different layouts</t>
  </si>
  <si>
    <t>All sensing devices mounted on the robot body</t>
  </si>
  <si>
    <t xml:space="preserve">Inspection </t>
  </si>
  <si>
    <t>Robot must stop when round ends or mission completes</t>
  </si>
  <si>
    <t>Motor stop within 3 seconds</t>
  </si>
  <si>
    <t>Robot must operate without map preloading of obstacle positions</t>
  </si>
  <si>
    <t>Works with randomized field</t>
  </si>
  <si>
    <t xml:space="preserve">Random setup trial </t>
  </si>
  <si>
    <t>How does it affect the design?</t>
  </si>
  <si>
    <r>
      <t xml:space="preserve">The robot </t>
    </r>
    <r>
      <rPr>
        <b/>
        <sz val="11"/>
        <color theme="1"/>
        <rFont val="Calibri"/>
        <family val="2"/>
        <scheme val="minor"/>
      </rPr>
      <t>may</t>
    </r>
    <r>
      <rPr>
        <sz val="11"/>
        <color theme="1"/>
        <rFont val="Calibri"/>
        <family val="2"/>
        <scheme val="minor"/>
      </rPr>
      <t xml:space="preserve"> start from within the parking lot. </t>
    </r>
  </si>
  <si>
    <t>The robot exits the parking area and completes the route</t>
  </si>
  <si>
    <t>We must use a way to detect colors and position of pillars on real-time, and act based on that.</t>
  </si>
  <si>
    <t>The vehicle should move based on its dimensions and the position and distance to the traffic sign.</t>
  </si>
  <si>
    <t>The robot must use sensors and probably a camera to complete the challenge autonomously</t>
  </si>
  <si>
    <t>The vehicle should drive considering its distance to the walls.</t>
  </si>
  <si>
    <t>The robot must have two buttons or activators.</t>
  </si>
  <si>
    <t>The driving direction shouldn't matter on the robot's algorithm.</t>
  </si>
  <si>
    <t>We must use a way to detect colors and position of the parking zone on real-time, and act based on that.</t>
  </si>
  <si>
    <t xml:space="preserve">Team should avoid using/buying sensors or components with added wireless communication. </t>
  </si>
  <si>
    <t>It must be fast enough to do 3 laps in less than 3 minutes. Considering the field and vehicle size.</t>
  </si>
  <si>
    <t>It can't drive in reverse (exceptions apply)</t>
  </si>
  <si>
    <t>sensors and camera must have a wide vision range</t>
  </si>
  <si>
    <t>Once the vehicle is inside the parking spot, IT MUST REMAIN STILL.</t>
  </si>
  <si>
    <t>The robot must operate without recalibration or parameter input after the start ​</t>
  </si>
  <si>
    <t>Robot must be aware of mission time.</t>
  </si>
  <si>
    <t>Every robot component must be inside the specified dimensions</t>
  </si>
  <si>
    <t>Both Challenges</t>
  </si>
  <si>
    <t>The problem has been explained and the criteria that will be used to evaluate the design as a solution to the problem.</t>
  </si>
  <si>
    <t>-Design problem analysis</t>
  </si>
  <si>
    <t>- Identification of restrictions and requirements for the robot.</t>
  </si>
  <si>
    <t>- Assessment of prior knowledge</t>
  </si>
  <si>
    <t>- Initial proposal for evaluation criteria</t>
  </si>
  <si>
    <t>Milestone Contents</t>
  </si>
  <si>
    <t>It's our first time participating in the World Robot Olympiad.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</si>
</sst>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&quot;$&quot;#,##0.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.5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1A1A1A"/>
      <name val="Calibri"/>
      <family val="2"/>
      <scheme val="minor"/>
    </font>
    <font>
      <sz val="11"/>
      <color rgb="FF1A1A1A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0" fontId="21" fillId="0" borderId="0" applyNumberForma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vertical="top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1" xfId="0" applyFont="1" applyBorder="1"/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vertical="center"/>
    </xf>
    <xf numFmtId="0" fontId="9" fillId="3" borderId="1" xfId="0" applyFont="1" applyFill="1" applyBorder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1" xfId="0" applyFont="1" applyBorder="1" applyAlignment="1">
      <alignment vertical="top" wrapText="1"/>
    </xf>
    <xf numFmtId="0" fontId="6" fillId="0" borderId="0" xfId="0" applyFont="1" applyAlignment="1">
      <alignment horizontal="center" vertical="center" wrapText="1"/>
    </xf>
    <xf numFmtId="0" fontId="12" fillId="0" borderId="0" xfId="0" applyFont="1" applyAlignment="1">
      <alignment wrapText="1"/>
    </xf>
    <xf numFmtId="0" fontId="12" fillId="0" borderId="0" xfId="0" applyFont="1"/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vertical="center" wrapText="1"/>
    </xf>
    <xf numFmtId="0" fontId="14" fillId="0" borderId="0" xfId="0" applyFont="1"/>
    <xf numFmtId="49" fontId="15" fillId="0" borderId="1" xfId="0" applyNumberFormat="1" applyFont="1" applyBorder="1"/>
    <xf numFmtId="0" fontId="14" fillId="0" borderId="1" xfId="0" applyFont="1" applyBorder="1" applyAlignment="1">
      <alignment horizontal="center"/>
    </xf>
    <xf numFmtId="0" fontId="14" fillId="4" borderId="1" xfId="0" applyFont="1" applyFill="1" applyBorder="1"/>
    <xf numFmtId="0" fontId="14" fillId="0" borderId="1" xfId="0" applyFont="1" applyBorder="1"/>
    <xf numFmtId="0" fontId="15" fillId="0" borderId="1" xfId="0" applyFont="1" applyBorder="1"/>
    <xf numFmtId="0" fontId="14" fillId="5" borderId="1" xfId="0" applyFont="1" applyFill="1" applyBorder="1"/>
    <xf numFmtId="0" fontId="15" fillId="0" borderId="4" xfId="0" applyFont="1" applyBorder="1"/>
    <xf numFmtId="0" fontId="14" fillId="5" borderId="5" xfId="0" applyFont="1" applyFill="1" applyBorder="1"/>
    <xf numFmtId="0" fontId="14" fillId="5" borderId="4" xfId="0" applyFont="1" applyFill="1" applyBorder="1"/>
    <xf numFmtId="0" fontId="14" fillId="0" borderId="4" xfId="0" applyFont="1" applyBorder="1"/>
    <xf numFmtId="0" fontId="14" fillId="5" borderId="8" xfId="0" applyFont="1" applyFill="1" applyBorder="1"/>
    <xf numFmtId="0" fontId="14" fillId="5" borderId="9" xfId="0" applyFont="1" applyFill="1" applyBorder="1"/>
    <xf numFmtId="0" fontId="14" fillId="0" borderId="6" xfId="0" applyFont="1" applyBorder="1"/>
    <xf numFmtId="0" fontId="14" fillId="4" borderId="8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/>
    </xf>
    <xf numFmtId="0" fontId="14" fillId="5" borderId="10" xfId="0" applyFont="1" applyFill="1" applyBorder="1"/>
    <xf numFmtId="0" fontId="14" fillId="0" borderId="7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0" fontId="15" fillId="0" borderId="0" xfId="0" applyFont="1"/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4" fillId="0" borderId="0" xfId="0" applyFont="1" applyAlignment="1">
      <alignment horizontal="right"/>
    </xf>
    <xf numFmtId="0" fontId="0" fillId="0" borderId="2" xfId="0" applyBorder="1" applyAlignment="1">
      <alignment vertical="top"/>
    </xf>
    <xf numFmtId="0" fontId="0" fillId="0" borderId="2" xfId="0" applyBorder="1" applyAlignment="1">
      <alignment vertical="top" wrapText="1"/>
    </xf>
    <xf numFmtId="0" fontId="17" fillId="0" borderId="2" xfId="0" applyFont="1" applyBorder="1" applyAlignment="1">
      <alignment vertical="top" wrapText="1"/>
    </xf>
    <xf numFmtId="0" fontId="3" fillId="0" borderId="11" xfId="0" applyFont="1" applyBorder="1"/>
    <xf numFmtId="0" fontId="18" fillId="0" borderId="0" xfId="0" applyFont="1"/>
    <xf numFmtId="0" fontId="18" fillId="0" borderId="11" xfId="0" applyFont="1" applyBorder="1"/>
    <xf numFmtId="0" fontId="0" fillId="0" borderId="0" xfId="0" applyAlignment="1">
      <alignment wrapText="1"/>
    </xf>
    <xf numFmtId="0" fontId="14" fillId="0" borderId="1" xfId="0" applyFont="1" applyBorder="1" applyAlignment="1">
      <alignment vertical="top" wrapText="1"/>
    </xf>
    <xf numFmtId="0" fontId="19" fillId="0" borderId="0" xfId="0" applyFont="1"/>
    <xf numFmtId="0" fontId="4" fillId="0" borderId="4" xfId="0" quotePrefix="1" applyFont="1" applyBorder="1" applyAlignment="1">
      <alignment vertical="center" wrapText="1"/>
    </xf>
    <xf numFmtId="0" fontId="4" fillId="0" borderId="6" xfId="0" quotePrefix="1" applyFont="1" applyBorder="1" applyAlignment="1">
      <alignment vertical="center" wrapText="1"/>
    </xf>
    <xf numFmtId="0" fontId="3" fillId="0" borderId="0" xfId="0" applyFont="1" applyAlignment="1">
      <alignment horizontal="right" vertical="center"/>
    </xf>
    <xf numFmtId="0" fontId="4" fillId="0" borderId="1" xfId="0" quotePrefix="1" applyFont="1" applyBorder="1" applyAlignment="1">
      <alignment vertical="center" wrapText="1"/>
    </xf>
    <xf numFmtId="0" fontId="4" fillId="0" borderId="0" xfId="0" quotePrefix="1" applyFont="1" applyAlignment="1">
      <alignment vertical="center" wrapText="1"/>
    </xf>
    <xf numFmtId="0" fontId="4" fillId="0" borderId="7" xfId="0" quotePrefix="1" applyFont="1" applyBorder="1" applyAlignment="1">
      <alignment vertical="center" wrapText="1"/>
    </xf>
    <xf numFmtId="0" fontId="0" fillId="6" borderId="0" xfId="0" applyFill="1"/>
    <xf numFmtId="0" fontId="4" fillId="0" borderId="13" xfId="0" quotePrefix="1" applyFont="1" applyBorder="1" applyAlignment="1">
      <alignment vertical="center" wrapText="1"/>
    </xf>
    <xf numFmtId="0" fontId="4" fillId="0" borderId="12" xfId="0" quotePrefix="1" applyFont="1" applyBorder="1" applyAlignment="1">
      <alignment vertical="center" wrapText="1"/>
    </xf>
    <xf numFmtId="0" fontId="4" fillId="0" borderId="14" xfId="0" quotePrefix="1" applyFont="1" applyBorder="1" applyAlignment="1">
      <alignment vertical="center" wrapText="1"/>
    </xf>
    <xf numFmtId="0" fontId="0" fillId="7" borderId="0" xfId="0" applyFill="1"/>
    <xf numFmtId="0" fontId="0" fillId="0" borderId="6" xfId="0" applyBorder="1" applyAlignment="1">
      <alignment horizontal="center"/>
    </xf>
    <xf numFmtId="0" fontId="3" fillId="7" borderId="0" xfId="0" applyFont="1" applyFill="1"/>
    <xf numFmtId="0" fontId="3" fillId="6" borderId="0" xfId="0" applyFont="1" applyFill="1"/>
    <xf numFmtId="0" fontId="1" fillId="0" borderId="0" xfId="0" applyFont="1"/>
    <xf numFmtId="0" fontId="1" fillId="0" borderId="2" xfId="0" applyFont="1" applyBorder="1" applyAlignment="1">
      <alignment vertical="top"/>
    </xf>
    <xf numFmtId="0" fontId="1" fillId="0" borderId="2" xfId="0" applyFont="1" applyBorder="1" applyAlignment="1">
      <alignment vertical="top" wrapText="1"/>
    </xf>
    <xf numFmtId="0" fontId="9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0" fillId="8" borderId="0" xfId="0" applyFill="1" applyAlignment="1">
      <alignment wrapText="1"/>
    </xf>
    <xf numFmtId="0" fontId="22" fillId="2" borderId="1" xfId="0" applyFont="1" applyFill="1" applyBorder="1"/>
    <xf numFmtId="0" fontId="3" fillId="0" borderId="1" xfId="0" applyFont="1" applyBorder="1" applyAlignment="1">
      <alignment horizontal="right" vertical="center"/>
    </xf>
    <xf numFmtId="0" fontId="0" fillId="0" borderId="1" xfId="0" quotePrefix="1" applyBorder="1" applyAlignment="1">
      <alignment wrapText="1"/>
    </xf>
    <xf numFmtId="0" fontId="3" fillId="0" borderId="0" xfId="0" applyFont="1" applyAlignment="1">
      <alignment horizontal="center" vertical="center"/>
    </xf>
    <xf numFmtId="0" fontId="20" fillId="11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0" fillId="9" borderId="1" xfId="0" applyFont="1" applyFill="1" applyBorder="1"/>
    <xf numFmtId="0" fontId="0" fillId="10" borderId="1" xfId="0" applyFill="1" applyBorder="1"/>
    <xf numFmtId="0" fontId="20" fillId="0" borderId="16" xfId="0" applyFont="1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0" fontId="21" fillId="0" borderId="15" xfId="1" applyFill="1" applyBorder="1" applyAlignment="1">
      <alignment wrapText="1"/>
    </xf>
    <xf numFmtId="164" fontId="0" fillId="0" borderId="15" xfId="0" applyNumberFormat="1" applyBorder="1" applyAlignment="1">
      <alignment wrapText="1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 vertical="center" wrapText="1"/>
    </xf>
    <xf numFmtId="0" fontId="0" fillId="0" borderId="17" xfId="0" applyBorder="1" applyAlignment="1">
      <alignment wrapText="1"/>
    </xf>
    <xf numFmtId="0" fontId="21" fillId="0" borderId="17" xfId="1" applyFill="1" applyBorder="1" applyAlignment="1">
      <alignment wrapText="1"/>
    </xf>
    <xf numFmtId="164" fontId="0" fillId="0" borderId="17" xfId="0" applyNumberFormat="1" applyBorder="1" applyAlignment="1">
      <alignment wrapText="1"/>
    </xf>
    <xf numFmtId="0" fontId="0" fillId="0" borderId="0" xfId="0" applyAlignment="1">
      <alignment vertical="center"/>
    </xf>
    <xf numFmtId="0" fontId="0" fillId="0" borderId="5" xfId="0" applyBorder="1"/>
    <xf numFmtId="0" fontId="20" fillId="9" borderId="5" xfId="0" applyFont="1" applyFill="1" applyBorder="1"/>
    <xf numFmtId="0" fontId="0" fillId="10" borderId="5" xfId="0" applyFill="1" applyBorder="1"/>
    <xf numFmtId="0" fontId="0" fillId="0" borderId="0" xfId="0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18" xfId="0" applyBorder="1" applyAlignment="1">
      <alignment vertical="center"/>
    </xf>
    <xf numFmtId="0" fontId="0" fillId="0" borderId="0" xfId="0" quotePrefix="1"/>
    <xf numFmtId="0" fontId="0" fillId="0" borderId="1" xfId="0" applyBorder="1" applyAlignment="1">
      <alignment vertical="center" wrapText="1"/>
    </xf>
    <xf numFmtId="0" fontId="23" fillId="0" borderId="0" xfId="0" applyFont="1" applyAlignment="1">
      <alignment horizontal="center"/>
    </xf>
    <xf numFmtId="0" fontId="23" fillId="0" borderId="3" xfId="0" applyFont="1" applyBorder="1" applyAlignment="1">
      <alignment horizontal="center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1" xfId="0" applyFont="1" applyBorder="1" applyAlignment="1">
      <alignment horizontal="right" vertical="center"/>
    </xf>
    <xf numFmtId="0" fontId="24" fillId="12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right" vertical="center"/>
    </xf>
    <xf numFmtId="0" fontId="14" fillId="0" borderId="1" xfId="0" applyFont="1" applyBorder="1" applyAlignment="1">
      <alignment horizontal="center"/>
    </xf>
    <xf numFmtId="0" fontId="14" fillId="0" borderId="0" xfId="0" applyFont="1" applyAlignment="1">
      <alignment wrapText="1"/>
    </xf>
    <xf numFmtId="0" fontId="14" fillId="0" borderId="3" xfId="0" applyFont="1" applyBorder="1" applyAlignment="1">
      <alignment horizontal="center"/>
    </xf>
    <xf numFmtId="0" fontId="14" fillId="4" borderId="4" xfId="0" applyFont="1" applyFill="1" applyBorder="1" applyAlignment="1">
      <alignment horizontal="left" vertical="center"/>
    </xf>
    <xf numFmtId="0" fontId="14" fillId="4" borderId="6" xfId="0" applyFont="1" applyFill="1" applyBorder="1" applyAlignment="1">
      <alignment horizontal="left" vertical="center"/>
    </xf>
    <xf numFmtId="0" fontId="14" fillId="4" borderId="7" xfId="0" applyFont="1" applyFill="1" applyBorder="1" applyAlignment="1">
      <alignment horizontal="left" vertical="center"/>
    </xf>
    <xf numFmtId="0" fontId="14" fillId="4" borderId="8" xfId="0" applyFont="1" applyFill="1" applyBorder="1" applyAlignment="1">
      <alignment horizontal="left" vertical="center"/>
    </xf>
    <xf numFmtId="0" fontId="14" fillId="4" borderId="9" xfId="0" applyFont="1" applyFill="1" applyBorder="1" applyAlignment="1">
      <alignment horizontal="left" vertical="center"/>
    </xf>
    <xf numFmtId="0" fontId="14" fillId="4" borderId="10" xfId="0" applyFont="1" applyFill="1" applyBorder="1" applyAlignment="1">
      <alignment horizontal="left" vertic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horizontal="left" vertical="center" indent="1"/>
    </xf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left"/>
    </xf>
    <xf numFmtId="0" fontId="3" fillId="0" borderId="0" xfId="0" applyFont="1" applyAlignment="1">
      <alignment horizontal="right" vertical="center"/>
    </xf>
    <xf numFmtId="0" fontId="12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34">
    <dxf>
      <alignment horizontal="general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numFmt numFmtId="164" formatCode="&quot;$&quot;#,##0.00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/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top style="thin">
          <color theme="1"/>
        </top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1" defaultTableStyle="TableStyleMedium2" defaultPivotStyle="PivotStyleLight16">
    <tableStyle name="Invisible" pivot="0" table="0" count="0" xr9:uid="{1597E352-4A04-4209-8BBA-8420D262E9BA}"/>
  </tableStyles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23" Type="http://schemas.microsoft.com/office/2022/11/relationships/FeaturePropertyBag" Target="featurePropertyBag/featurePropertyBag.xml"/><Relationship Id="rId10" Type="http://schemas.openxmlformats.org/officeDocument/2006/relationships/worksheet" Target="worksheets/sheet10.xml"/><Relationship Id="rId19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Types" Target="richData/rdRichValueTypes.xml"/><Relationship Id="rId27" Type="http://schemas.openxmlformats.org/officeDocument/2006/relationships/customXml" Target="../customXml/item3.xml"/></Relationships>
</file>

<file path=xl/diagrams/_rels/data2.xml.rels><?xml version="1.0" encoding="UTF-8" standalone="yes"?>
<Relationships xmlns="http://schemas.openxmlformats.org/package/2006/relationships"><Relationship Id="rId3" Type="http://schemas.openxmlformats.org/officeDocument/2006/relationships/hyperlink" Target="#Alternativas!A1"/><Relationship Id="rId7" Type="http://schemas.openxmlformats.org/officeDocument/2006/relationships/hyperlink" Target="#Subsistemas!A1"/><Relationship Id="rId2" Type="http://schemas.openxmlformats.org/officeDocument/2006/relationships/hyperlink" Target="#Requerimientos!A1"/><Relationship Id="rId1" Type="http://schemas.openxmlformats.org/officeDocument/2006/relationships/hyperlink" Target="#Planteamiento!A1"/><Relationship Id="rId6" Type="http://schemas.openxmlformats.org/officeDocument/2006/relationships/hyperlink" Target="#Planificaci&#243;n!A1"/><Relationship Id="rId5" Type="http://schemas.openxmlformats.org/officeDocument/2006/relationships/hyperlink" Target="#Validaci&#243;n!A1"/><Relationship Id="rId4" Type="http://schemas.openxmlformats.org/officeDocument/2006/relationships/hyperlink" Target="#Selecci&#243;n!A1"/></Relationships>
</file>

<file path=xl/diagrams/_rels/data3.xml.rels><?xml version="1.0" encoding="UTF-8" standalone="yes"?>
<Relationships xmlns="http://schemas.openxmlformats.org/package/2006/relationships"><Relationship Id="rId8" Type="http://schemas.openxmlformats.org/officeDocument/2006/relationships/hyperlink" Target="#'System Definition'!A1"/><Relationship Id="rId3" Type="http://schemas.openxmlformats.org/officeDocument/2006/relationships/hyperlink" Target="#'System Requirements'!A1"/><Relationship Id="rId7" Type="http://schemas.openxmlformats.org/officeDocument/2006/relationships/hyperlink" Target="#Alternatives!A1"/><Relationship Id="rId2" Type="http://schemas.openxmlformats.org/officeDocument/2006/relationships/hyperlink" Target="#'Cr&#237;tical Design'!A1"/><Relationship Id="rId1" Type="http://schemas.openxmlformats.org/officeDocument/2006/relationships/hyperlink" Target="#Index!A1"/><Relationship Id="rId6" Type="http://schemas.openxmlformats.org/officeDocument/2006/relationships/hyperlink" Target="#Mission!A1"/><Relationship Id="rId5" Type="http://schemas.openxmlformats.org/officeDocument/2006/relationships/hyperlink" Target="#Planification!A1"/><Relationship Id="rId4" Type="http://schemas.openxmlformats.org/officeDocument/2006/relationships/hyperlink" Target="#Selection!A1"/><Relationship Id="rId9" Type="http://schemas.openxmlformats.org/officeDocument/2006/relationships/hyperlink" Target="#'Pre-CDR'!A1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3.xml><?xml version="1.0" encoding="utf-8"?>
<dgm:colorsDef xmlns:dgm="http://schemas.openxmlformats.org/drawingml/2006/diagram" xmlns:a="http://schemas.openxmlformats.org/drawingml/2006/main" uniqueId="urn:microsoft.com/office/officeart/2005/8/colors/colorful5">
  <dgm:title val=""/>
  <dgm:desc val=""/>
  <dgm:catLst>
    <dgm:cat type="colorful" pri="10500"/>
  </dgm:catLst>
  <dgm:styleLbl name="node0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>
      <a:schemeClr val="accent5"/>
      <a:schemeClr val="accent6"/>
    </dgm:fillClrLst>
    <dgm:linClrLst>
      <a:schemeClr val="accent5"/>
      <a:schemeClr val="accent6"/>
    </dgm:linClrLst>
    <dgm:effectClrLst/>
    <dgm:txLinClrLst/>
    <dgm:txFillClrLst/>
    <dgm:txEffectClrLst/>
  </dgm:styleLbl>
  <dgm:styleLbl name="lnNode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5">
        <a:tint val="50000"/>
      </a:schemeClr>
      <a:schemeClr val="accent6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f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>
      <a:schemeClr val="accent5"/>
      <a:schemeClr val="accent6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/>
    <dgm:linClrLst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5"/>
    </dgm:fillClrLst>
    <dgm:linClrLst meth="repeat">
      <a:schemeClr val="accent5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5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1">
    <dgm:fillClrLst meth="repeat">
      <a:schemeClr val="accent6"/>
    </dgm:fillClrLst>
    <dgm:linClrLst meth="repeat">
      <a:schemeClr val="lt1">
        <a:shade val="80000"/>
      </a:schemeClr>
    </dgm:linClrLst>
    <dgm:effectClrLst/>
    <dgm:txLinClrLst/>
    <dgm:txFillClrLst/>
    <dgm:txEffectClrLst/>
  </dgm:styleLbl>
  <dgm:styleLbl name="asst2">
    <dgm:fillClrLst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1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5"/>
    </dgm:fillClrLst>
    <dgm:linClrLst meth="repeat">
      <a:schemeClr val="accent5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6">
        <a:tint val="90000"/>
      </a:schemeClr>
    </dgm:fillClrLst>
    <dgm:linClrLst meth="repeat">
      <a:schemeClr val="accent6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6">
        <a:tint val="70000"/>
      </a:schemeClr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6">
        <a:tint val="5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5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5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>
      <a:schemeClr val="accent5">
        <a:tint val="40000"/>
        <a:alpha val="90000"/>
      </a:schemeClr>
      <a:schemeClr val="accent6">
        <a:tint val="40000"/>
        <a:alpha val="90000"/>
      </a:schemeClr>
    </dgm:fillClrLst>
    <dgm:linClrLst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6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5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5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5">
        <a:tint val="50000"/>
        <a:alpha val="40000"/>
      </a:schemeClr>
    </dgm:fillClrLst>
    <dgm:linClrLst meth="repeat">
      <a:schemeClr val="accent5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5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26608ED4-FC71-46AA-9103-C2E5972236AF}" type="doc">
      <dgm:prSet loTypeId="urn:microsoft.com/office/officeart/2005/8/layout/hProcess11" loCatId="process" qsTypeId="urn:microsoft.com/office/officeart/2005/8/quickstyle/simple1" qsCatId="simple" csTypeId="urn:microsoft.com/office/officeart/2005/8/colors/accent1_2" csCatId="accent1" phldr="1"/>
      <dgm:spPr/>
    </dgm:pt>
    <dgm:pt modelId="{A92EAF67-17C5-4FC5-BCFB-675F3B5C95B5}">
      <dgm:prSet phldrT="[Text]"/>
      <dgm:spPr/>
      <dgm:t>
        <a:bodyPr/>
        <a:lstStyle/>
        <a:p>
          <a:r>
            <a:rPr lang="es-DO"/>
            <a:t>Hito 1: Problema y Necesidades de Diseño</a:t>
          </a:r>
        </a:p>
      </dgm:t>
    </dgm:pt>
    <dgm:pt modelId="{208126B4-CADC-4BD0-A391-BE83473C4DA4}" type="parTrans" cxnId="{0024C9BB-43D1-41E1-8DF1-30D587E1045C}">
      <dgm:prSet/>
      <dgm:spPr/>
      <dgm:t>
        <a:bodyPr/>
        <a:lstStyle/>
        <a:p>
          <a:endParaRPr lang="es-DO"/>
        </a:p>
      </dgm:t>
    </dgm:pt>
    <dgm:pt modelId="{6A5541AF-7190-4E8B-B12A-E1FC1D9D66FC}" type="sibTrans" cxnId="{0024C9BB-43D1-41E1-8DF1-30D587E1045C}">
      <dgm:prSet/>
      <dgm:spPr/>
      <dgm:t>
        <a:bodyPr/>
        <a:lstStyle/>
        <a:p>
          <a:endParaRPr lang="es-DO"/>
        </a:p>
      </dgm:t>
    </dgm:pt>
    <dgm:pt modelId="{A6532DFF-223F-450B-814C-1DF0C4110DFA}">
      <dgm:prSet phldrT="[Text]"/>
      <dgm:spPr/>
      <dgm:t>
        <a:bodyPr/>
        <a:lstStyle/>
        <a:p>
          <a:r>
            <a:rPr lang="es-DO"/>
            <a:t>Hito 2: Especificaciones de Diseño y Plan de Conceptualización</a:t>
          </a:r>
        </a:p>
      </dgm:t>
    </dgm:pt>
    <dgm:pt modelId="{FF0E7678-F9B6-4F3D-A0D4-2EB37CDF1602}" type="parTrans" cxnId="{427E1BB7-EAC2-435E-BD56-2E8A8AFC87E3}">
      <dgm:prSet/>
      <dgm:spPr/>
      <dgm:t>
        <a:bodyPr/>
        <a:lstStyle/>
        <a:p>
          <a:endParaRPr lang="es-DO"/>
        </a:p>
      </dgm:t>
    </dgm:pt>
    <dgm:pt modelId="{CB805B73-25E3-4258-BE85-B8A1473488F7}" type="sibTrans" cxnId="{427E1BB7-EAC2-435E-BD56-2E8A8AFC87E3}">
      <dgm:prSet/>
      <dgm:spPr/>
      <dgm:t>
        <a:bodyPr/>
        <a:lstStyle/>
        <a:p>
          <a:endParaRPr lang="es-DO"/>
        </a:p>
      </dgm:t>
    </dgm:pt>
    <dgm:pt modelId="{241BE66A-D684-4FF4-A264-CA7DEE58FFA6}">
      <dgm:prSet phldrT="[Text]"/>
      <dgm:spPr/>
      <dgm:t>
        <a:bodyPr/>
        <a:lstStyle/>
        <a:p>
          <a:r>
            <a:rPr lang="es-DO"/>
            <a:t>Hito 3: Selección de Concepto</a:t>
          </a:r>
        </a:p>
      </dgm:t>
    </dgm:pt>
    <dgm:pt modelId="{F0CB9CB6-C519-4C7B-9A33-C84878C703A6}" type="parTrans" cxnId="{4B53A1E0-76D3-4169-8C68-78FC60D2768C}">
      <dgm:prSet/>
      <dgm:spPr/>
      <dgm:t>
        <a:bodyPr/>
        <a:lstStyle/>
        <a:p>
          <a:endParaRPr lang="es-DO"/>
        </a:p>
      </dgm:t>
    </dgm:pt>
    <dgm:pt modelId="{FF72A5F7-B3DD-40D6-8782-20A10D8E5FEC}" type="sibTrans" cxnId="{4B53A1E0-76D3-4169-8C68-78FC60D2768C}">
      <dgm:prSet/>
      <dgm:spPr/>
      <dgm:t>
        <a:bodyPr/>
        <a:lstStyle/>
        <a:p>
          <a:endParaRPr lang="es-DO"/>
        </a:p>
      </dgm:t>
    </dgm:pt>
    <dgm:pt modelId="{085256A6-E961-42F0-A61E-CEC00EC099EF}">
      <dgm:prSet phldrT="[Text]"/>
      <dgm:spPr/>
      <dgm:t>
        <a:bodyPr/>
        <a:lstStyle/>
        <a:p>
          <a:r>
            <a:rPr lang="es-DO"/>
            <a:t>Hito 4: Validación del Concepto y Plan de Implementación</a:t>
          </a:r>
        </a:p>
      </dgm:t>
    </dgm:pt>
    <dgm:pt modelId="{C5546CC4-54AE-4588-A8D7-F80673FE87B0}" type="parTrans" cxnId="{28B7BAF1-4781-4786-BD9D-376C0436C253}">
      <dgm:prSet/>
      <dgm:spPr/>
      <dgm:t>
        <a:bodyPr/>
        <a:lstStyle/>
        <a:p>
          <a:endParaRPr lang="es-DO"/>
        </a:p>
      </dgm:t>
    </dgm:pt>
    <dgm:pt modelId="{16D238B0-7720-4783-9483-74A114862770}" type="sibTrans" cxnId="{28B7BAF1-4781-4786-BD9D-376C0436C253}">
      <dgm:prSet/>
      <dgm:spPr/>
      <dgm:t>
        <a:bodyPr/>
        <a:lstStyle/>
        <a:p>
          <a:endParaRPr lang="es-DO"/>
        </a:p>
      </dgm:t>
    </dgm:pt>
    <dgm:pt modelId="{A160D066-B542-4619-8437-4A90DD0927FD}">
      <dgm:prSet phldrT="[Text]"/>
      <dgm:spPr/>
      <dgm:t>
        <a:bodyPr/>
        <a:lstStyle/>
        <a:p>
          <a:r>
            <a:rPr lang="es-DO"/>
            <a:t>Planteamiento y Requerimientos</a:t>
          </a:r>
        </a:p>
      </dgm:t>
    </dgm:pt>
    <dgm:pt modelId="{BA8B6C72-8688-473E-B3DB-F2E919633019}" type="parTrans" cxnId="{87FF66F2-870F-43EB-B423-F86AA3695E83}">
      <dgm:prSet/>
      <dgm:spPr/>
      <dgm:t>
        <a:bodyPr/>
        <a:lstStyle/>
        <a:p>
          <a:endParaRPr lang="es-DO"/>
        </a:p>
      </dgm:t>
    </dgm:pt>
    <dgm:pt modelId="{94E91270-9555-4656-BD62-6088C1BA538B}" type="sibTrans" cxnId="{87FF66F2-870F-43EB-B423-F86AA3695E83}">
      <dgm:prSet/>
      <dgm:spPr/>
      <dgm:t>
        <a:bodyPr/>
        <a:lstStyle/>
        <a:p>
          <a:endParaRPr lang="es-DO"/>
        </a:p>
      </dgm:t>
    </dgm:pt>
    <dgm:pt modelId="{15ACAEFE-3036-4316-9347-B0023E1BA432}" type="pres">
      <dgm:prSet presAssocID="{26608ED4-FC71-46AA-9103-C2E5972236AF}" presName="Name0" presStyleCnt="0">
        <dgm:presLayoutVars>
          <dgm:dir/>
          <dgm:resizeHandles val="exact"/>
        </dgm:presLayoutVars>
      </dgm:prSet>
      <dgm:spPr/>
    </dgm:pt>
    <dgm:pt modelId="{83333182-6A86-4C8E-A25B-37D8F12EABCD}" type="pres">
      <dgm:prSet presAssocID="{26608ED4-FC71-46AA-9103-C2E5972236AF}" presName="arrow" presStyleLbl="bgShp" presStyleIdx="0" presStyleCnt="1"/>
      <dgm:spPr>
        <a:solidFill>
          <a:schemeClr val="accent2">
            <a:lumMod val="40000"/>
            <a:lumOff val="60000"/>
          </a:schemeClr>
        </a:solidFill>
      </dgm:spPr>
    </dgm:pt>
    <dgm:pt modelId="{60A64662-0D5E-43A8-A993-3C871EA33405}" type="pres">
      <dgm:prSet presAssocID="{26608ED4-FC71-46AA-9103-C2E5972236AF}" presName="points" presStyleCnt="0"/>
      <dgm:spPr/>
    </dgm:pt>
    <dgm:pt modelId="{307DF335-15D7-4832-A7E6-670D136E0D79}" type="pres">
      <dgm:prSet presAssocID="{A160D066-B542-4619-8437-4A90DD0927FD}" presName="compositeA" presStyleCnt="0"/>
      <dgm:spPr/>
    </dgm:pt>
    <dgm:pt modelId="{0E464BD0-9E93-45E9-A396-FC4861C035EE}" type="pres">
      <dgm:prSet presAssocID="{A160D066-B542-4619-8437-4A90DD0927FD}" presName="textA" presStyleLbl="revTx" presStyleIdx="0" presStyleCnt="5">
        <dgm:presLayoutVars>
          <dgm:bulletEnabled val="1"/>
        </dgm:presLayoutVars>
      </dgm:prSet>
      <dgm:spPr/>
    </dgm:pt>
    <dgm:pt modelId="{92C1B8BD-3164-43B7-908F-CB96F87E8DDB}" type="pres">
      <dgm:prSet presAssocID="{A160D066-B542-4619-8437-4A90DD0927FD}" presName="circleA" presStyleLbl="node1" presStyleIdx="0" presStyleCnt="5"/>
      <dgm:spPr/>
    </dgm:pt>
    <dgm:pt modelId="{76B83AD0-659F-4307-96DA-874FA90D66B5}" type="pres">
      <dgm:prSet presAssocID="{A160D066-B542-4619-8437-4A90DD0927FD}" presName="spaceA" presStyleCnt="0"/>
      <dgm:spPr/>
    </dgm:pt>
    <dgm:pt modelId="{45241E7F-878B-4B6E-9364-D7E31C9F7AF1}" type="pres">
      <dgm:prSet presAssocID="{94E91270-9555-4656-BD62-6088C1BA538B}" presName="space" presStyleCnt="0"/>
      <dgm:spPr/>
    </dgm:pt>
    <dgm:pt modelId="{8BD11820-0515-4E2D-ACB0-22DE8CB41820}" type="pres">
      <dgm:prSet presAssocID="{A92EAF67-17C5-4FC5-BCFB-675F3B5C95B5}" presName="compositeB" presStyleCnt="0"/>
      <dgm:spPr/>
    </dgm:pt>
    <dgm:pt modelId="{1DCC3C92-DDDD-4E60-B243-D4D39F91FA2A}" type="pres">
      <dgm:prSet presAssocID="{A92EAF67-17C5-4FC5-BCFB-675F3B5C95B5}" presName="textB" presStyleLbl="revTx" presStyleIdx="1" presStyleCnt="5">
        <dgm:presLayoutVars>
          <dgm:bulletEnabled val="1"/>
        </dgm:presLayoutVars>
      </dgm:prSet>
      <dgm:spPr/>
    </dgm:pt>
    <dgm:pt modelId="{6FA7F4A1-8741-4624-A22B-81B500AB81EB}" type="pres">
      <dgm:prSet presAssocID="{A92EAF67-17C5-4FC5-BCFB-675F3B5C95B5}" presName="circleB" presStyleLbl="node1" presStyleIdx="1" presStyleCnt="5"/>
      <dgm:spPr/>
    </dgm:pt>
    <dgm:pt modelId="{8F2DEA18-5962-411A-BD60-C7344D0E5883}" type="pres">
      <dgm:prSet presAssocID="{A92EAF67-17C5-4FC5-BCFB-675F3B5C95B5}" presName="spaceB" presStyleCnt="0"/>
      <dgm:spPr/>
    </dgm:pt>
    <dgm:pt modelId="{163F11B2-8B54-4A5B-A15F-354542F3CEF1}" type="pres">
      <dgm:prSet presAssocID="{6A5541AF-7190-4E8B-B12A-E1FC1D9D66FC}" presName="space" presStyleCnt="0"/>
      <dgm:spPr/>
    </dgm:pt>
    <dgm:pt modelId="{60CFBAE3-90D0-4C12-8EB7-7A60362E728D}" type="pres">
      <dgm:prSet presAssocID="{A6532DFF-223F-450B-814C-1DF0C4110DFA}" presName="compositeA" presStyleCnt="0"/>
      <dgm:spPr/>
    </dgm:pt>
    <dgm:pt modelId="{C252AECE-13B4-492B-B4E3-F5C72BE6B9CE}" type="pres">
      <dgm:prSet presAssocID="{A6532DFF-223F-450B-814C-1DF0C4110DFA}" presName="textA" presStyleLbl="revTx" presStyleIdx="2" presStyleCnt="5">
        <dgm:presLayoutVars>
          <dgm:bulletEnabled val="1"/>
        </dgm:presLayoutVars>
      </dgm:prSet>
      <dgm:spPr/>
    </dgm:pt>
    <dgm:pt modelId="{1DF2075B-2D7B-4A8F-A3BB-75CA77DE7BDD}" type="pres">
      <dgm:prSet presAssocID="{A6532DFF-223F-450B-814C-1DF0C4110DFA}" presName="circleA" presStyleLbl="node1" presStyleIdx="2" presStyleCnt="5"/>
      <dgm:spPr/>
    </dgm:pt>
    <dgm:pt modelId="{FD779E5F-BFE4-42D9-932B-06179749DA6D}" type="pres">
      <dgm:prSet presAssocID="{A6532DFF-223F-450B-814C-1DF0C4110DFA}" presName="spaceA" presStyleCnt="0"/>
      <dgm:spPr/>
    </dgm:pt>
    <dgm:pt modelId="{851487C4-BC52-4ACC-B628-6F6D10195918}" type="pres">
      <dgm:prSet presAssocID="{CB805B73-25E3-4258-BE85-B8A1473488F7}" presName="space" presStyleCnt="0"/>
      <dgm:spPr/>
    </dgm:pt>
    <dgm:pt modelId="{535A0346-723F-47B8-9958-D652CD9E2EE8}" type="pres">
      <dgm:prSet presAssocID="{241BE66A-D684-4FF4-A264-CA7DEE58FFA6}" presName="compositeB" presStyleCnt="0"/>
      <dgm:spPr/>
    </dgm:pt>
    <dgm:pt modelId="{73E1F965-F679-4D83-B7FD-C804B7F5F0C6}" type="pres">
      <dgm:prSet presAssocID="{241BE66A-D684-4FF4-A264-CA7DEE58FFA6}" presName="textB" presStyleLbl="revTx" presStyleIdx="3" presStyleCnt="5">
        <dgm:presLayoutVars>
          <dgm:bulletEnabled val="1"/>
        </dgm:presLayoutVars>
      </dgm:prSet>
      <dgm:spPr/>
    </dgm:pt>
    <dgm:pt modelId="{506D9E6D-52DC-480A-9175-506EC64F88C4}" type="pres">
      <dgm:prSet presAssocID="{241BE66A-D684-4FF4-A264-CA7DEE58FFA6}" presName="circleB" presStyleLbl="node1" presStyleIdx="3" presStyleCnt="5"/>
      <dgm:spPr/>
    </dgm:pt>
    <dgm:pt modelId="{225B015D-5B54-4C79-A559-DAEBA683459B}" type="pres">
      <dgm:prSet presAssocID="{241BE66A-D684-4FF4-A264-CA7DEE58FFA6}" presName="spaceB" presStyleCnt="0"/>
      <dgm:spPr/>
    </dgm:pt>
    <dgm:pt modelId="{9CDB9655-3486-4BE4-815F-E8E79CB0D848}" type="pres">
      <dgm:prSet presAssocID="{FF72A5F7-B3DD-40D6-8782-20A10D8E5FEC}" presName="space" presStyleCnt="0"/>
      <dgm:spPr/>
    </dgm:pt>
    <dgm:pt modelId="{2285A5DF-AAB7-4FD8-9254-FD3D735B8DB3}" type="pres">
      <dgm:prSet presAssocID="{085256A6-E961-42F0-A61E-CEC00EC099EF}" presName="compositeA" presStyleCnt="0"/>
      <dgm:spPr/>
    </dgm:pt>
    <dgm:pt modelId="{D94271B5-75FD-421C-8C47-827333B1B1D3}" type="pres">
      <dgm:prSet presAssocID="{085256A6-E961-42F0-A61E-CEC00EC099EF}" presName="textA" presStyleLbl="revTx" presStyleIdx="4" presStyleCnt="5">
        <dgm:presLayoutVars>
          <dgm:bulletEnabled val="1"/>
        </dgm:presLayoutVars>
      </dgm:prSet>
      <dgm:spPr/>
    </dgm:pt>
    <dgm:pt modelId="{80391667-1F14-4757-BFAD-7A64E84F75A8}" type="pres">
      <dgm:prSet presAssocID="{085256A6-E961-42F0-A61E-CEC00EC099EF}" presName="circleA" presStyleLbl="node1" presStyleIdx="4" presStyleCnt="5"/>
      <dgm:spPr/>
    </dgm:pt>
    <dgm:pt modelId="{46B657FD-6EFA-40BB-9D5F-E6F87EB832F1}" type="pres">
      <dgm:prSet presAssocID="{085256A6-E961-42F0-A61E-CEC00EC099EF}" presName="spaceA" presStyleCnt="0"/>
      <dgm:spPr/>
    </dgm:pt>
  </dgm:ptLst>
  <dgm:cxnLst>
    <dgm:cxn modelId="{A520B002-B119-42F7-9842-4A1168C4991F}" type="presOf" srcId="{241BE66A-D684-4FF4-A264-CA7DEE58FFA6}" destId="{73E1F965-F679-4D83-B7FD-C804B7F5F0C6}" srcOrd="0" destOrd="0" presId="urn:microsoft.com/office/officeart/2005/8/layout/hProcess11"/>
    <dgm:cxn modelId="{5A45C208-F45E-476B-A4A7-C51E103E933E}" type="presOf" srcId="{A160D066-B542-4619-8437-4A90DD0927FD}" destId="{0E464BD0-9E93-45E9-A396-FC4861C035EE}" srcOrd="0" destOrd="0" presId="urn:microsoft.com/office/officeart/2005/8/layout/hProcess11"/>
    <dgm:cxn modelId="{A944314A-BDB4-4C97-A224-42018865AB44}" type="presOf" srcId="{A92EAF67-17C5-4FC5-BCFB-675F3B5C95B5}" destId="{1DCC3C92-DDDD-4E60-B243-D4D39F91FA2A}" srcOrd="0" destOrd="0" presId="urn:microsoft.com/office/officeart/2005/8/layout/hProcess11"/>
    <dgm:cxn modelId="{38F9AB7B-9E6A-4B1B-ADAD-F5EB35BA9A35}" type="presOf" srcId="{26608ED4-FC71-46AA-9103-C2E5972236AF}" destId="{15ACAEFE-3036-4316-9347-B0023E1BA432}" srcOrd="0" destOrd="0" presId="urn:microsoft.com/office/officeart/2005/8/layout/hProcess11"/>
    <dgm:cxn modelId="{3DC64FA3-F5EA-4D8B-A0D2-D33B8B71A51E}" type="presOf" srcId="{085256A6-E961-42F0-A61E-CEC00EC099EF}" destId="{D94271B5-75FD-421C-8C47-827333B1B1D3}" srcOrd="0" destOrd="0" presId="urn:microsoft.com/office/officeart/2005/8/layout/hProcess11"/>
    <dgm:cxn modelId="{427E1BB7-EAC2-435E-BD56-2E8A8AFC87E3}" srcId="{26608ED4-FC71-46AA-9103-C2E5972236AF}" destId="{A6532DFF-223F-450B-814C-1DF0C4110DFA}" srcOrd="2" destOrd="0" parTransId="{FF0E7678-F9B6-4F3D-A0D4-2EB37CDF1602}" sibTransId="{CB805B73-25E3-4258-BE85-B8A1473488F7}"/>
    <dgm:cxn modelId="{0024C9BB-43D1-41E1-8DF1-30D587E1045C}" srcId="{26608ED4-FC71-46AA-9103-C2E5972236AF}" destId="{A92EAF67-17C5-4FC5-BCFB-675F3B5C95B5}" srcOrd="1" destOrd="0" parTransId="{208126B4-CADC-4BD0-A391-BE83473C4DA4}" sibTransId="{6A5541AF-7190-4E8B-B12A-E1FC1D9D66FC}"/>
    <dgm:cxn modelId="{4B53A1E0-76D3-4169-8C68-78FC60D2768C}" srcId="{26608ED4-FC71-46AA-9103-C2E5972236AF}" destId="{241BE66A-D684-4FF4-A264-CA7DEE58FFA6}" srcOrd="3" destOrd="0" parTransId="{F0CB9CB6-C519-4C7B-9A33-C84878C703A6}" sibTransId="{FF72A5F7-B3DD-40D6-8782-20A10D8E5FEC}"/>
    <dgm:cxn modelId="{28B7BAF1-4781-4786-BD9D-376C0436C253}" srcId="{26608ED4-FC71-46AA-9103-C2E5972236AF}" destId="{085256A6-E961-42F0-A61E-CEC00EC099EF}" srcOrd="4" destOrd="0" parTransId="{C5546CC4-54AE-4588-A8D7-F80673FE87B0}" sibTransId="{16D238B0-7720-4783-9483-74A114862770}"/>
    <dgm:cxn modelId="{87FF66F2-870F-43EB-B423-F86AA3695E83}" srcId="{26608ED4-FC71-46AA-9103-C2E5972236AF}" destId="{A160D066-B542-4619-8437-4A90DD0927FD}" srcOrd="0" destOrd="0" parTransId="{BA8B6C72-8688-473E-B3DB-F2E919633019}" sibTransId="{94E91270-9555-4656-BD62-6088C1BA538B}"/>
    <dgm:cxn modelId="{5A3231F8-28D7-49C4-8395-09FA0B9D1BE2}" type="presOf" srcId="{A6532DFF-223F-450B-814C-1DF0C4110DFA}" destId="{C252AECE-13B4-492B-B4E3-F5C72BE6B9CE}" srcOrd="0" destOrd="0" presId="urn:microsoft.com/office/officeart/2005/8/layout/hProcess11"/>
    <dgm:cxn modelId="{82CCC152-BC48-469B-842F-8C2C04C75C1C}" type="presParOf" srcId="{15ACAEFE-3036-4316-9347-B0023E1BA432}" destId="{83333182-6A86-4C8E-A25B-37D8F12EABCD}" srcOrd="0" destOrd="0" presId="urn:microsoft.com/office/officeart/2005/8/layout/hProcess11"/>
    <dgm:cxn modelId="{E7244D1E-4AD8-4FFD-BB40-01A40E9B95EE}" type="presParOf" srcId="{15ACAEFE-3036-4316-9347-B0023E1BA432}" destId="{60A64662-0D5E-43A8-A993-3C871EA33405}" srcOrd="1" destOrd="0" presId="urn:microsoft.com/office/officeart/2005/8/layout/hProcess11"/>
    <dgm:cxn modelId="{D633E590-B675-4D5F-BB54-0F6B56D9ECA8}" type="presParOf" srcId="{60A64662-0D5E-43A8-A993-3C871EA33405}" destId="{307DF335-15D7-4832-A7E6-670D136E0D79}" srcOrd="0" destOrd="0" presId="urn:microsoft.com/office/officeart/2005/8/layout/hProcess11"/>
    <dgm:cxn modelId="{A21D6CEA-9B47-4F0B-B795-3974D3D92D81}" type="presParOf" srcId="{307DF335-15D7-4832-A7E6-670D136E0D79}" destId="{0E464BD0-9E93-45E9-A396-FC4861C035EE}" srcOrd="0" destOrd="0" presId="urn:microsoft.com/office/officeart/2005/8/layout/hProcess11"/>
    <dgm:cxn modelId="{6A795B41-A697-49E6-AE78-72176CF445FB}" type="presParOf" srcId="{307DF335-15D7-4832-A7E6-670D136E0D79}" destId="{92C1B8BD-3164-43B7-908F-CB96F87E8DDB}" srcOrd="1" destOrd="0" presId="urn:microsoft.com/office/officeart/2005/8/layout/hProcess11"/>
    <dgm:cxn modelId="{B9480449-16AD-4E9C-A596-668541F1C268}" type="presParOf" srcId="{307DF335-15D7-4832-A7E6-670D136E0D79}" destId="{76B83AD0-659F-4307-96DA-874FA90D66B5}" srcOrd="2" destOrd="0" presId="urn:microsoft.com/office/officeart/2005/8/layout/hProcess11"/>
    <dgm:cxn modelId="{20C6D991-8544-40AC-8740-9792A1796662}" type="presParOf" srcId="{60A64662-0D5E-43A8-A993-3C871EA33405}" destId="{45241E7F-878B-4B6E-9364-D7E31C9F7AF1}" srcOrd="1" destOrd="0" presId="urn:microsoft.com/office/officeart/2005/8/layout/hProcess11"/>
    <dgm:cxn modelId="{5A9F7BCF-1236-4EF5-8284-EDC4A52BEFA7}" type="presParOf" srcId="{60A64662-0D5E-43A8-A993-3C871EA33405}" destId="{8BD11820-0515-4E2D-ACB0-22DE8CB41820}" srcOrd="2" destOrd="0" presId="urn:microsoft.com/office/officeart/2005/8/layout/hProcess11"/>
    <dgm:cxn modelId="{6D6A1C19-1C8E-4A57-B7E0-39E9D9A93B4C}" type="presParOf" srcId="{8BD11820-0515-4E2D-ACB0-22DE8CB41820}" destId="{1DCC3C92-DDDD-4E60-B243-D4D39F91FA2A}" srcOrd="0" destOrd="0" presId="urn:microsoft.com/office/officeart/2005/8/layout/hProcess11"/>
    <dgm:cxn modelId="{96493260-7F2C-4EFF-975B-425740A886F2}" type="presParOf" srcId="{8BD11820-0515-4E2D-ACB0-22DE8CB41820}" destId="{6FA7F4A1-8741-4624-A22B-81B500AB81EB}" srcOrd="1" destOrd="0" presId="urn:microsoft.com/office/officeart/2005/8/layout/hProcess11"/>
    <dgm:cxn modelId="{96DEA16E-DD15-4ED2-9BB0-1F1C41C80910}" type="presParOf" srcId="{8BD11820-0515-4E2D-ACB0-22DE8CB41820}" destId="{8F2DEA18-5962-411A-BD60-C7344D0E5883}" srcOrd="2" destOrd="0" presId="urn:microsoft.com/office/officeart/2005/8/layout/hProcess11"/>
    <dgm:cxn modelId="{36B3BDEC-5C37-44FD-97CF-A7A96E3378EC}" type="presParOf" srcId="{60A64662-0D5E-43A8-A993-3C871EA33405}" destId="{163F11B2-8B54-4A5B-A15F-354542F3CEF1}" srcOrd="3" destOrd="0" presId="urn:microsoft.com/office/officeart/2005/8/layout/hProcess11"/>
    <dgm:cxn modelId="{57A7DBDB-6E22-4A64-A4A6-E11BA274F866}" type="presParOf" srcId="{60A64662-0D5E-43A8-A993-3C871EA33405}" destId="{60CFBAE3-90D0-4C12-8EB7-7A60362E728D}" srcOrd="4" destOrd="0" presId="urn:microsoft.com/office/officeart/2005/8/layout/hProcess11"/>
    <dgm:cxn modelId="{B4556F65-7113-4F0B-847B-16FC00A593C1}" type="presParOf" srcId="{60CFBAE3-90D0-4C12-8EB7-7A60362E728D}" destId="{C252AECE-13B4-492B-B4E3-F5C72BE6B9CE}" srcOrd="0" destOrd="0" presId="urn:microsoft.com/office/officeart/2005/8/layout/hProcess11"/>
    <dgm:cxn modelId="{B4F3B40D-98D6-4AE4-830F-527A9D65D73B}" type="presParOf" srcId="{60CFBAE3-90D0-4C12-8EB7-7A60362E728D}" destId="{1DF2075B-2D7B-4A8F-A3BB-75CA77DE7BDD}" srcOrd="1" destOrd="0" presId="urn:microsoft.com/office/officeart/2005/8/layout/hProcess11"/>
    <dgm:cxn modelId="{603B5DBB-3025-4D9C-96BD-26868AB8C6E0}" type="presParOf" srcId="{60CFBAE3-90D0-4C12-8EB7-7A60362E728D}" destId="{FD779E5F-BFE4-42D9-932B-06179749DA6D}" srcOrd="2" destOrd="0" presId="urn:microsoft.com/office/officeart/2005/8/layout/hProcess11"/>
    <dgm:cxn modelId="{EB22D233-F9A9-48C9-BE54-ACA7A6E6A084}" type="presParOf" srcId="{60A64662-0D5E-43A8-A993-3C871EA33405}" destId="{851487C4-BC52-4ACC-B628-6F6D10195918}" srcOrd="5" destOrd="0" presId="urn:microsoft.com/office/officeart/2005/8/layout/hProcess11"/>
    <dgm:cxn modelId="{FB3BFF6D-D6E2-42C5-B339-BABAE8837AA6}" type="presParOf" srcId="{60A64662-0D5E-43A8-A993-3C871EA33405}" destId="{535A0346-723F-47B8-9958-D652CD9E2EE8}" srcOrd="6" destOrd="0" presId="urn:microsoft.com/office/officeart/2005/8/layout/hProcess11"/>
    <dgm:cxn modelId="{39883E2D-3407-4CA4-9299-45AFA686CB38}" type="presParOf" srcId="{535A0346-723F-47B8-9958-D652CD9E2EE8}" destId="{73E1F965-F679-4D83-B7FD-C804B7F5F0C6}" srcOrd="0" destOrd="0" presId="urn:microsoft.com/office/officeart/2005/8/layout/hProcess11"/>
    <dgm:cxn modelId="{305340AE-2578-4C25-AAF0-57048475ECDF}" type="presParOf" srcId="{535A0346-723F-47B8-9958-D652CD9E2EE8}" destId="{506D9E6D-52DC-480A-9175-506EC64F88C4}" srcOrd="1" destOrd="0" presId="urn:microsoft.com/office/officeart/2005/8/layout/hProcess11"/>
    <dgm:cxn modelId="{D145D50D-5CA1-48A0-9AB6-8E34A1F537D1}" type="presParOf" srcId="{535A0346-723F-47B8-9958-D652CD9E2EE8}" destId="{225B015D-5B54-4C79-A559-DAEBA683459B}" srcOrd="2" destOrd="0" presId="urn:microsoft.com/office/officeart/2005/8/layout/hProcess11"/>
    <dgm:cxn modelId="{9A0E3757-3902-42D6-90AD-61BC51D6CD4B}" type="presParOf" srcId="{60A64662-0D5E-43A8-A993-3C871EA33405}" destId="{9CDB9655-3486-4BE4-815F-E8E79CB0D848}" srcOrd="7" destOrd="0" presId="urn:microsoft.com/office/officeart/2005/8/layout/hProcess11"/>
    <dgm:cxn modelId="{331E8202-8507-40A6-8E23-7E246290443A}" type="presParOf" srcId="{60A64662-0D5E-43A8-A993-3C871EA33405}" destId="{2285A5DF-AAB7-4FD8-9254-FD3D735B8DB3}" srcOrd="8" destOrd="0" presId="urn:microsoft.com/office/officeart/2005/8/layout/hProcess11"/>
    <dgm:cxn modelId="{5133163D-5752-4D01-82A6-5A37F6B61043}" type="presParOf" srcId="{2285A5DF-AAB7-4FD8-9254-FD3D735B8DB3}" destId="{D94271B5-75FD-421C-8C47-827333B1B1D3}" srcOrd="0" destOrd="0" presId="urn:microsoft.com/office/officeart/2005/8/layout/hProcess11"/>
    <dgm:cxn modelId="{40DBD55B-94A7-4AA6-9D02-65A51CBEC53B}" type="presParOf" srcId="{2285A5DF-AAB7-4FD8-9254-FD3D735B8DB3}" destId="{80391667-1F14-4757-BFAD-7A64E84F75A8}" srcOrd="1" destOrd="0" presId="urn:microsoft.com/office/officeart/2005/8/layout/hProcess11"/>
    <dgm:cxn modelId="{F174E1A6-1FDF-445F-A225-4A839990B261}" type="presParOf" srcId="{2285A5DF-AAB7-4FD8-9254-FD3D735B8DB3}" destId="{46B657FD-6EFA-40BB-9D5F-E6F87EB832F1}" srcOrd="2" destOrd="0" presId="urn:microsoft.com/office/officeart/2005/8/layout/hProcess11"/>
  </dgm:cxnLst>
  <dgm:bg>
    <a:gradFill flip="none" rotWithShape="1">
      <a:gsLst>
        <a:gs pos="0">
          <a:schemeClr val="accent6">
            <a:lumMod val="60000"/>
            <a:lumOff val="40000"/>
            <a:shade val="30000"/>
            <a:satMod val="115000"/>
          </a:schemeClr>
        </a:gs>
        <a:gs pos="50000">
          <a:schemeClr val="accent6">
            <a:lumMod val="60000"/>
            <a:lumOff val="40000"/>
            <a:shade val="67500"/>
            <a:satMod val="115000"/>
          </a:schemeClr>
        </a:gs>
        <a:gs pos="100000">
          <a:schemeClr val="accent6">
            <a:lumMod val="60000"/>
            <a:lumOff val="40000"/>
            <a:shade val="100000"/>
            <a:satMod val="115000"/>
          </a:schemeClr>
        </a:gs>
      </a:gsLst>
      <a:lin ang="0" scaled="1"/>
      <a:tileRect/>
    </a:gradFill>
  </dgm:bg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57B1E6D2-7F07-4964-8C61-49D378D9E9FF}" type="doc">
      <dgm:prSet loTypeId="urn:microsoft.com/office/officeart/2005/8/layout/process5" loCatId="process" qsTypeId="urn:microsoft.com/office/officeart/2005/8/quickstyle/simple1" qsCatId="simple" csTypeId="urn:microsoft.com/office/officeart/2005/8/colors/colorful5" csCatId="colorful" phldr="1"/>
      <dgm:spPr/>
      <dgm:t>
        <a:bodyPr/>
        <a:lstStyle/>
        <a:p>
          <a:endParaRPr lang="es-DO"/>
        </a:p>
      </dgm:t>
    </dgm:pt>
    <dgm:pt modelId="{BDEA1015-4F67-4D75-9DCA-35985006FD79}">
      <dgm:prSet phldrT="[Text]"/>
      <dgm:spPr/>
      <dgm:t>
        <a:bodyPr/>
        <a:lstStyle/>
        <a:p>
          <a:r>
            <a:rPr lang="es-DO" b="0" i="0" u="none">
              <a:solidFill>
                <a:sysClr val="windowText" lastClr="000000"/>
              </a:solidFill>
            </a:rPr>
            <a:t>Misión</a:t>
          </a:r>
          <a:endParaRPr lang="es-DO">
            <a:solidFill>
              <a:sysClr val="windowText" lastClr="000000"/>
            </a:solidFill>
          </a:endParaRP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77DDB4C7-34ED-4FB9-B1B9-B30D1E05E633}" type="parTrans" cxnId="{E9DB92F0-2897-4189-9860-ED63845E9A76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A61564E5-C7D8-4DB0-A425-5892B4279888}" type="sibTrans" cxnId="{E9DB92F0-2897-4189-9860-ED63845E9A76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98E62B67-E424-45AD-B1AF-222A09A8E742}">
      <dgm:prSet phldrT="[Text]"/>
      <dgm:spPr/>
      <dgm:t>
        <a:bodyPr/>
        <a:lstStyle/>
        <a:p>
          <a:r>
            <a:rPr lang="es-DO" b="0" i="0" u="none" dirty="0">
              <a:solidFill>
                <a:sysClr val="windowText" lastClr="000000"/>
              </a:solidFill>
            </a:rPr>
            <a:t>Requerimientos</a:t>
          </a:r>
          <a:endParaRPr lang="es-DO" dirty="0">
            <a:solidFill>
              <a:sysClr val="windowText" lastClr="000000"/>
            </a:solidFill>
          </a:endParaRP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9DE025C5-6A24-46F4-B89D-3D89AEA60880}" type="parTrans" cxnId="{BF338939-858E-43DB-B61E-CDA3A478E732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FE268F06-B9C9-40EF-8A06-FEA19F356248}" type="sibTrans" cxnId="{BF338939-858E-43DB-B61E-CDA3A478E732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781CD8C8-954C-4ECA-9164-851106CEF2AE}">
      <dgm:prSet phldrT="[Text]"/>
      <dgm:spPr/>
      <dgm:t>
        <a:bodyPr/>
        <a:lstStyle/>
        <a:p>
          <a:r>
            <a:rPr lang="es-DO" b="0" i="0" u="none" dirty="0">
              <a:solidFill>
                <a:sysClr val="windowText" lastClr="000000"/>
              </a:solidFill>
            </a:rPr>
            <a:t>Requerimientos y Especificaciones</a:t>
          </a:r>
          <a:endParaRPr lang="es-DO" dirty="0">
            <a:solidFill>
              <a:sysClr val="windowText" lastClr="000000"/>
            </a:solidFill>
          </a:endParaRPr>
        </a:p>
      </dgm:t>
    </dgm:pt>
    <dgm:pt modelId="{DABC34A4-273B-489B-98BD-F958F2CA9A5B}" type="parTrans" cxnId="{FA90702B-0A48-476C-AA2D-D1EFB814409E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0CCCD518-0440-4217-BA20-CA647AA604DD}" type="sibTrans" cxnId="{FA90702B-0A48-476C-AA2D-D1EFB814409E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2B7E20BD-3CEB-4510-97BA-AA175C936B25}">
      <dgm:prSet phldrT="[Text]"/>
      <dgm:spPr/>
      <dgm:t>
        <a:bodyPr/>
        <a:lstStyle/>
        <a:p>
          <a:r>
            <a:rPr lang="es-DO" b="0" i="0" u="none" dirty="0">
              <a:solidFill>
                <a:sysClr val="windowText" lastClr="000000"/>
              </a:solidFill>
            </a:rPr>
            <a:t>Alternativas</a:t>
          </a:r>
          <a:endParaRPr lang="es-DO" dirty="0">
            <a:solidFill>
              <a:sysClr val="windowText" lastClr="000000"/>
            </a:solidFill>
          </a:endParaRP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44BB5260-7EF7-425A-9D9D-77B202FAD685}" type="parTrans" cxnId="{EABB9DA1-2C8D-4CFD-9142-7DB86FE48048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F8F7438E-4333-4FD9-AF1B-C4022CBCDFC8}" type="sibTrans" cxnId="{EABB9DA1-2C8D-4CFD-9142-7DB86FE48048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43690DE5-6452-45D2-9B8C-BF1C8A36BFFA}">
      <dgm:prSet phldrT="[Text]"/>
      <dgm:spPr/>
      <dgm:t>
        <a:bodyPr/>
        <a:lstStyle/>
        <a:p>
          <a:r>
            <a:rPr lang="es-DO" b="0" i="0" u="none" dirty="0">
              <a:solidFill>
                <a:sysClr val="windowText" lastClr="000000"/>
              </a:solidFill>
            </a:rPr>
            <a:t>Propuestas</a:t>
          </a:r>
          <a:endParaRPr lang="es-DO" dirty="0">
            <a:solidFill>
              <a:sysClr val="windowText" lastClr="000000"/>
            </a:solidFill>
          </a:endParaRPr>
        </a:p>
      </dgm:t>
    </dgm:pt>
    <dgm:pt modelId="{A3EEC4F3-FA69-4618-8448-B2259164FA48}" type="parTrans" cxnId="{A82D431B-C6C0-4FC6-A5D0-3B52781D3F17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57C4C1D5-3E93-461D-B652-D83CA7C3703E}" type="sibTrans" cxnId="{A82D431B-C6C0-4FC6-A5D0-3B52781D3F17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AF60FF14-F74B-4375-B6F8-FD1AA7051CCA}">
      <dgm:prSet phldrT="[Text]"/>
      <dgm:spPr/>
      <dgm:t>
        <a:bodyPr/>
        <a:lstStyle/>
        <a:p>
          <a:r>
            <a:rPr lang="es-DO" b="0" i="0" u="none" dirty="0">
              <a:solidFill>
                <a:sysClr val="windowText" lastClr="000000"/>
              </a:solidFill>
            </a:rPr>
            <a:t>Selección</a:t>
          </a:r>
          <a:endParaRPr lang="es-DO" dirty="0">
            <a:solidFill>
              <a:sysClr val="windowText" lastClr="000000"/>
            </a:solidFill>
          </a:endParaRP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782E6246-CB32-4B6A-BBCE-71E6255DAC52}" type="parTrans" cxnId="{66735403-3D41-4D2D-9658-EC78919F330B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3557C9E3-C1FB-4BAD-B2CB-C4C712F9DC60}" type="sibTrans" cxnId="{66735403-3D41-4D2D-9658-EC78919F330B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76AE7299-54A1-4E56-99B7-C6012F51F534}">
      <dgm:prSet phldrT="[Text]"/>
      <dgm:spPr/>
      <dgm:t>
        <a:bodyPr/>
        <a:lstStyle/>
        <a:p>
          <a:r>
            <a:rPr lang="es-DO" b="0" i="0" u="none" dirty="0">
              <a:solidFill>
                <a:sysClr val="windowText" lastClr="000000"/>
              </a:solidFill>
            </a:rPr>
            <a:t>Diseño Preliminar</a:t>
          </a:r>
          <a:endParaRPr lang="es-DO" dirty="0">
            <a:solidFill>
              <a:sysClr val="windowText" lastClr="000000"/>
            </a:solidFill>
          </a:endParaRP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6B86B537-9947-40DC-B41F-7F2D071707C4}" type="parTrans" cxnId="{231525F7-0F4A-44C4-877E-69C93E05D2DF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435B7DC2-261A-4F40-A0A0-D45B09057C35}" type="sibTrans" cxnId="{231525F7-0F4A-44C4-877E-69C93E05D2DF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02F13EE6-55CE-4BC1-A885-19E90BD1478D}">
      <dgm:prSet phldrT="[Text]"/>
      <dgm:spPr/>
      <dgm:t>
        <a:bodyPr/>
        <a:lstStyle/>
        <a:p>
          <a:r>
            <a:rPr lang="es-DO" b="0" i="0" u="none" dirty="0">
              <a:solidFill>
                <a:sysClr val="windowText" lastClr="000000"/>
              </a:solidFill>
            </a:rPr>
            <a:t>Planificación</a:t>
          </a:r>
          <a:endParaRPr lang="es-DO" dirty="0">
            <a:solidFill>
              <a:sysClr val="windowText" lastClr="000000"/>
            </a:solidFill>
          </a:endParaRP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/>
          </dgm14:cNvPr>
        </a:ext>
      </dgm:extLst>
    </dgm:pt>
    <dgm:pt modelId="{5BC4BBD8-F1F7-44DF-B713-11215DDA9E64}" type="parTrans" cxnId="{D5161BD3-E09C-4A0E-874C-FE7BEA7D1B10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4F4DD4F3-B2DB-4DF1-B240-E495D7E62AB6}" type="sibTrans" cxnId="{D5161BD3-E09C-4A0E-874C-FE7BEA7D1B10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0B1A18ED-12CC-474E-BE9F-7F4DC4205607}">
      <dgm:prSet/>
      <dgm:spPr/>
      <dgm:t>
        <a:bodyPr/>
        <a:lstStyle/>
        <a:p>
          <a:r>
            <a:rPr lang="es-DO" b="0" i="0" u="none">
              <a:solidFill>
                <a:sysClr val="windowText" lastClr="000000"/>
              </a:solidFill>
            </a:rPr>
            <a:t>Diagramas de Funciones</a:t>
          </a:r>
          <a:endParaRPr lang="es-DO">
            <a:solidFill>
              <a:sysClr val="windowText" lastClr="000000"/>
            </a:solidFill>
          </a:endParaRPr>
        </a:p>
      </dgm:t>
    </dgm:pt>
    <dgm:pt modelId="{18770D52-23F5-4E68-BD6D-D4F30B4825FC}" type="parTrans" cxnId="{4CED3970-B90E-48F8-9222-34A716692B9C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CF46F371-2DAF-4B10-9C20-45FA8E3C7058}" type="sibTrans" cxnId="{4CED3970-B90E-48F8-9222-34A716692B9C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70D77EC5-E92A-4F8F-AB87-FEC238884B8B}">
      <dgm:prSet phldrT="[Text]"/>
      <dgm:spPr/>
      <dgm:t>
        <a:bodyPr/>
        <a:lstStyle/>
        <a:p>
          <a:r>
            <a:rPr lang="es-DO" b="0" i="0" u="none">
              <a:solidFill>
                <a:sysClr val="windowText" lastClr="000000"/>
              </a:solidFill>
            </a:rPr>
            <a:t>Restricciones y Métricas</a:t>
          </a:r>
          <a:endParaRPr lang="es-DO" dirty="0">
            <a:solidFill>
              <a:sysClr val="windowText" lastClr="000000"/>
            </a:solidFill>
          </a:endParaRPr>
        </a:p>
      </dgm:t>
    </dgm:pt>
    <dgm:pt modelId="{4AE31B19-45FF-4A26-A42C-9ADD1FF261AE}" type="parTrans" cxnId="{751A23E6-FB90-4B04-B00D-14B64D236BFA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6B94BA5D-1A47-463A-8C3B-655C4C4A6159}" type="sibTrans" cxnId="{751A23E6-FB90-4B04-B00D-14B64D236BFA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79835845-8FE3-4286-A1D4-8E931C88295F}">
      <dgm:prSet/>
      <dgm:spPr/>
      <dgm:t>
        <a:bodyPr/>
        <a:lstStyle/>
        <a:p>
          <a:r>
            <a:rPr lang="es-DO" b="0" i="0" u="none">
              <a:solidFill>
                <a:sysClr val="windowText" lastClr="000000"/>
              </a:solidFill>
            </a:rPr>
            <a:t>Análisis y Evaluación</a:t>
          </a:r>
          <a:endParaRPr lang="es-DO">
            <a:solidFill>
              <a:sysClr val="windowText" lastClr="000000"/>
            </a:solidFill>
          </a:endParaRPr>
        </a:p>
      </dgm:t>
    </dgm:pt>
    <dgm:pt modelId="{3165E499-883E-4818-8E21-774CD258E010}" type="parTrans" cxnId="{227D5731-3F78-4478-A27D-8F9890B74C2C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88EFB3F6-A418-4F74-AFA6-E7DAD3011579}" type="sibTrans" cxnId="{227D5731-3F78-4478-A27D-8F9890B74C2C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87EBF3A9-AA0C-48FE-8AEC-1D1124B4DDDE}">
      <dgm:prSet phldrT="[Text]"/>
      <dgm:spPr/>
      <dgm:t>
        <a:bodyPr/>
        <a:lstStyle/>
        <a:p>
          <a:r>
            <a:rPr lang="es-DO" b="0" i="0" u="none">
              <a:solidFill>
                <a:sysClr val="windowText" lastClr="000000"/>
              </a:solidFill>
            </a:rPr>
            <a:t>Combinaciones</a:t>
          </a:r>
          <a:endParaRPr lang="es-DO" dirty="0">
            <a:solidFill>
              <a:sysClr val="windowText" lastClr="000000"/>
            </a:solidFill>
          </a:endParaRPr>
        </a:p>
      </dgm:t>
    </dgm:pt>
    <dgm:pt modelId="{E30C27A0-533D-4F71-8789-389C55563F43}" type="parTrans" cxnId="{396D8B53-8998-4B47-8A9E-9252E0D5EEFA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5CDA13CE-027E-4C1B-BDE8-24C1404FDA67}" type="sibTrans" cxnId="{396D8B53-8998-4B47-8A9E-9252E0D5EEFA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53AD78E6-B18B-48A0-A8AF-497A633BEEAD}">
      <dgm:prSet/>
      <dgm:spPr/>
      <dgm:t>
        <a:bodyPr/>
        <a:lstStyle/>
        <a:p>
          <a:r>
            <a:rPr lang="es-DO" b="0" i="0" u="none">
              <a:solidFill>
                <a:sysClr val="windowText" lastClr="000000"/>
              </a:solidFill>
            </a:rPr>
            <a:t>Arquitectura</a:t>
          </a:r>
          <a:endParaRPr lang="es-DO">
            <a:solidFill>
              <a:sysClr val="windowText" lastClr="000000"/>
            </a:solidFill>
          </a:endParaRPr>
        </a:p>
      </dgm:t>
    </dgm:pt>
    <dgm:pt modelId="{DAC6AB87-431C-4920-917B-B32B42C1464C}" type="parTrans" cxnId="{5CF2E6E5-8FA1-4B8C-95DD-6269D7B01E3A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34136955-639E-4730-8F7D-D71C0CC373BB}" type="sibTrans" cxnId="{5CF2E6E5-8FA1-4B8C-95DD-6269D7B01E3A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B97B4434-AF7E-4B6D-ABCF-06F47CA1F807}">
      <dgm:prSet/>
      <dgm:spPr/>
      <dgm:t>
        <a:bodyPr/>
        <a:lstStyle/>
        <a:p>
          <a:r>
            <a:rPr lang="es-DO" b="0" i="0" u="none">
              <a:solidFill>
                <a:sysClr val="windowText" lastClr="000000"/>
              </a:solidFill>
            </a:rPr>
            <a:t>Concepto</a:t>
          </a:r>
          <a:endParaRPr lang="es-DO">
            <a:solidFill>
              <a:sysClr val="windowText" lastClr="000000"/>
            </a:solidFill>
          </a:endParaRPr>
        </a:p>
      </dgm:t>
    </dgm:pt>
    <dgm:pt modelId="{8A4F7EB5-C194-4190-BD47-FAFA54D2719F}" type="parTrans" cxnId="{B29DB01D-450E-49F1-AA50-364BD1689076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7C40FD25-C416-4D33-8123-016726F788F4}" type="sibTrans" cxnId="{B29DB01D-450E-49F1-AA50-364BD1689076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FB39569A-8D4C-4C33-9178-4195F9BCE599}">
      <dgm:prSet phldrT="[Text]"/>
      <dgm:spPr/>
      <dgm:t>
        <a:bodyPr/>
        <a:lstStyle/>
        <a:p>
          <a:r>
            <a:rPr lang="es-DO" b="0" i="0" u="none" dirty="0">
              <a:solidFill>
                <a:sysClr val="windowText" lastClr="000000"/>
              </a:solidFill>
            </a:rPr>
            <a:t>Diseño Detallado de Subsistemas</a:t>
          </a:r>
          <a:endParaRPr lang="es-DO" dirty="0">
            <a:solidFill>
              <a:sysClr val="windowText" lastClr="000000"/>
            </a:solidFill>
          </a:endParaRPr>
        </a:p>
      </dgm:t>
    </dgm:pt>
    <dgm:pt modelId="{18C13126-D3F5-4044-88DB-FC83B85436A4}" type="parTrans" cxnId="{53A0E8C9-6ABE-461C-8A3E-CAB860EC2E1E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BBFD2C30-6EFC-4C57-A7B2-55BB21BB1831}" type="sibTrans" cxnId="{53A0E8C9-6ABE-461C-8A3E-CAB860EC2E1E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7465F21A-CFBD-4998-87C8-4C99722A659D}">
      <dgm:prSet/>
      <dgm:spPr/>
      <dgm:t>
        <a:bodyPr/>
        <a:lstStyle/>
        <a:p>
          <a:r>
            <a:rPr lang="es-DO" b="0" i="0" u="none" dirty="0">
              <a:solidFill>
                <a:sysClr val="windowText" lastClr="000000"/>
              </a:solidFill>
            </a:rPr>
            <a:t>Integración y Pruebas</a:t>
          </a:r>
          <a:endParaRPr lang="es-DO" dirty="0">
            <a:solidFill>
              <a:sysClr val="windowText" lastClr="000000"/>
            </a:solidFill>
          </a:endParaRPr>
        </a:p>
      </dgm:t>
    </dgm:pt>
    <dgm:pt modelId="{1A2F36E8-F2EE-47B8-AC77-462C93E22820}" type="parTrans" cxnId="{5102C926-6E8C-4B99-85EA-22F85FA37B80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F1251B68-E816-4094-AB0E-1A493C9C7863}" type="sibTrans" cxnId="{5102C926-6E8C-4B99-85EA-22F85FA37B80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D6E877B4-64C4-48D2-B138-429436F65196}">
      <dgm:prSet phldrT="[Text]"/>
      <dgm:spPr/>
      <dgm:t>
        <a:bodyPr/>
        <a:lstStyle/>
        <a:p>
          <a:r>
            <a:rPr lang="es-DO" b="0" i="0" u="none" dirty="0">
              <a:solidFill>
                <a:sysClr val="windowText" lastClr="000000"/>
              </a:solidFill>
            </a:rPr>
            <a:t>Demo de Diseño</a:t>
          </a:r>
          <a:endParaRPr lang="es-DO" dirty="0">
            <a:solidFill>
              <a:sysClr val="windowText" lastClr="000000"/>
            </a:solidFill>
          </a:endParaRPr>
        </a:p>
      </dgm:t>
    </dgm:pt>
    <dgm:pt modelId="{D337E5F3-8106-4E9D-B4BF-2880D13C6F39}" type="parTrans" cxnId="{6329967A-BB2A-4706-85E8-676341964912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8E784301-66DE-4299-9D5C-C04E88D10C8C}" type="sibTrans" cxnId="{6329967A-BB2A-4706-85E8-676341964912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1130BA55-25F5-41F6-B161-7D4172F8EC20}">
      <dgm:prSet phldrT="[Text]"/>
      <dgm:spPr/>
      <dgm:t>
        <a:bodyPr/>
        <a:lstStyle/>
        <a:p>
          <a:r>
            <a:rPr lang="es-DO" b="0" i="0" u="none">
              <a:solidFill>
                <a:sysClr val="windowText" lastClr="000000"/>
              </a:solidFill>
            </a:rPr>
            <a:t>Comunicación del Equipo</a:t>
          </a:r>
          <a:endParaRPr lang="es-DO" dirty="0">
            <a:solidFill>
              <a:sysClr val="windowText" lastClr="000000"/>
            </a:solidFill>
          </a:endParaRPr>
        </a:p>
      </dgm:t>
    </dgm:pt>
    <dgm:pt modelId="{632F1895-3556-4341-BBF7-00054B9DA625}" type="parTrans" cxnId="{94B2634C-3476-429C-8C51-0167A6903060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C87ECAF8-4556-491A-9EED-68AB88F63976}" type="sibTrans" cxnId="{94B2634C-3476-429C-8C51-0167A6903060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3F5917F8-7155-4B29-B77D-573C9CD207FA}">
      <dgm:prSet phldrT="[Text]"/>
      <dgm:spPr/>
      <dgm:t>
        <a:bodyPr/>
        <a:lstStyle/>
        <a:p>
          <a:r>
            <a:rPr lang="es-DO" dirty="0">
              <a:solidFill>
                <a:sysClr val="windowText" lastClr="000000"/>
              </a:solidFill>
            </a:rPr>
            <a:t>Requerimientos operativos y funcionales</a:t>
          </a:r>
        </a:p>
      </dgm:t>
    </dgm:pt>
    <dgm:pt modelId="{4B2FCBC2-A45C-4C3F-A2AD-35E8F23598C9}" type="parTrans" cxnId="{83240941-5484-4AA5-96AA-1DA680668645}">
      <dgm:prSet/>
      <dgm:spPr/>
      <dgm:t>
        <a:bodyPr/>
        <a:lstStyle/>
        <a:p>
          <a:endParaRPr lang="es-DO"/>
        </a:p>
      </dgm:t>
    </dgm:pt>
    <dgm:pt modelId="{AD241F5A-6191-4C99-8D50-7E18DE75E99F}" type="sibTrans" cxnId="{83240941-5484-4AA5-96AA-1DA680668645}">
      <dgm:prSet/>
      <dgm:spPr/>
      <dgm:t>
        <a:bodyPr/>
        <a:lstStyle/>
        <a:p>
          <a:endParaRPr lang="es-DO"/>
        </a:p>
      </dgm:t>
    </dgm:pt>
    <dgm:pt modelId="{4D99F955-351A-4515-8A21-8F1AD323319D}">
      <dgm:prSet phldrT="[Text]"/>
      <dgm:spPr/>
      <dgm:t>
        <a:bodyPr/>
        <a:lstStyle/>
        <a:p>
          <a:r>
            <a:rPr lang="es-DO" b="0" i="0" u="none" dirty="0">
              <a:solidFill>
                <a:sysClr val="windowText" lastClr="000000"/>
              </a:solidFill>
            </a:rPr>
            <a:t>Definición del Sistema</a:t>
          </a:r>
          <a:endParaRPr lang="es-DO" dirty="0">
            <a:solidFill>
              <a:sysClr val="windowText" lastClr="000000"/>
            </a:solidFill>
          </a:endParaRP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/>
          </dgm14:cNvPr>
        </a:ext>
      </dgm:extLst>
    </dgm:pt>
    <dgm:pt modelId="{8DCCF0C7-601E-4FC9-B9AD-1CD0C120B823}" type="sibTrans" cxnId="{67D5F11F-4F2B-400E-BD3B-598E74C439C3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1AA9D996-DB2C-42A4-A399-3CDEB10CD25B}" type="parTrans" cxnId="{67D5F11F-4F2B-400E-BD3B-598E74C439C3}">
      <dgm:prSet/>
      <dgm:spPr/>
      <dgm:t>
        <a:bodyPr/>
        <a:lstStyle/>
        <a:p>
          <a:endParaRPr lang="es-DO">
            <a:solidFill>
              <a:sysClr val="windowText" lastClr="000000"/>
            </a:solidFill>
          </a:endParaRPr>
        </a:p>
      </dgm:t>
    </dgm:pt>
    <dgm:pt modelId="{9DDA2567-5F38-4496-8138-64859DB7115B}">
      <dgm:prSet phldrT="[Text]"/>
      <dgm:spPr/>
      <dgm:t>
        <a:bodyPr/>
        <a:lstStyle/>
        <a:p>
          <a:r>
            <a:rPr lang="es-DO" b="0" i="0" u="none">
              <a:solidFill>
                <a:sysClr val="windowText" lastClr="000000"/>
              </a:solidFill>
            </a:rPr>
            <a:t>WBS, Diagrama de Gantt</a:t>
          </a:r>
          <a:endParaRPr lang="es-DO" dirty="0">
            <a:solidFill>
              <a:sysClr val="windowText" lastClr="000000"/>
            </a:solidFill>
          </a:endParaRPr>
        </a:p>
      </dgm:t>
    </dgm:pt>
    <dgm:pt modelId="{D3C93163-4F42-42D8-8E89-57E093072697}" type="parTrans" cxnId="{DD6F5721-14E5-47F0-AB0D-6402E73A3757}">
      <dgm:prSet/>
      <dgm:spPr/>
      <dgm:t>
        <a:bodyPr/>
        <a:lstStyle/>
        <a:p>
          <a:endParaRPr lang="es-DO"/>
        </a:p>
      </dgm:t>
    </dgm:pt>
    <dgm:pt modelId="{55853CF9-FABB-4E3F-96EA-3E2248250973}" type="sibTrans" cxnId="{DD6F5721-14E5-47F0-AB0D-6402E73A3757}">
      <dgm:prSet/>
      <dgm:spPr/>
      <dgm:t>
        <a:bodyPr/>
        <a:lstStyle/>
        <a:p>
          <a:endParaRPr lang="es-DO"/>
        </a:p>
      </dgm:t>
    </dgm:pt>
    <dgm:pt modelId="{1C140BCF-5FEF-4838-87DF-CD79CF516282}">
      <dgm:prSet phldrT="[Text]"/>
      <dgm:spPr/>
      <dgm:t>
        <a:bodyPr/>
        <a:lstStyle/>
        <a:p>
          <a:r>
            <a:rPr lang="es-DO" b="0" i="0" u="none">
              <a:solidFill>
                <a:sysClr val="windowText" lastClr="000000"/>
              </a:solidFill>
            </a:rPr>
            <a:t>Análisis y Manejo de Riesgos y </a:t>
          </a:r>
          <a:r>
            <a:rPr lang="es-DO" dirty="0">
              <a:solidFill>
                <a:sysClr val="windowText" lastClr="000000"/>
              </a:solidFill>
            </a:rPr>
            <a:t>Recursos</a:t>
          </a:r>
        </a:p>
      </dgm:t>
    </dgm:pt>
    <dgm:pt modelId="{BF27D82F-4F64-4BE8-AAC1-52E939575A0E}" type="parTrans" cxnId="{AAFA67B2-B793-4886-951E-FBA36AA82F35}">
      <dgm:prSet/>
      <dgm:spPr/>
      <dgm:t>
        <a:bodyPr/>
        <a:lstStyle/>
        <a:p>
          <a:endParaRPr lang="es-DO"/>
        </a:p>
      </dgm:t>
    </dgm:pt>
    <dgm:pt modelId="{C71B7F84-3C99-44EC-ABD9-8B6E69FB6A9A}" type="sibTrans" cxnId="{AAFA67B2-B793-4886-951E-FBA36AA82F35}">
      <dgm:prSet/>
      <dgm:spPr/>
      <dgm:t>
        <a:bodyPr/>
        <a:lstStyle/>
        <a:p>
          <a:endParaRPr lang="es-DO"/>
        </a:p>
      </dgm:t>
    </dgm:pt>
    <dgm:pt modelId="{C0D72C98-BD43-4240-80B6-E938C734DA73}">
      <dgm:prSet phldrT="[Text]"/>
      <dgm:spPr/>
      <dgm:t>
        <a:bodyPr/>
        <a:lstStyle/>
        <a:p>
          <a:r>
            <a:rPr lang="es-DO" b="0" i="0" u="none" dirty="0">
              <a:solidFill>
                <a:sysClr val="windowText" lastClr="000000"/>
              </a:solidFill>
            </a:rPr>
            <a:t>Verificación </a:t>
          </a:r>
          <a:endParaRPr lang="es-DO" dirty="0">
            <a:solidFill>
              <a:sysClr val="windowText" lastClr="000000"/>
            </a:solidFill>
          </a:endParaRPr>
        </a:p>
      </dgm:t>
    </dgm:pt>
    <dgm:pt modelId="{1FA73061-1225-48FE-9C91-6B6469BB0599}" type="parTrans" cxnId="{8A14FE0F-FEF9-42C5-AB43-E10081A23CB0}">
      <dgm:prSet/>
      <dgm:spPr/>
      <dgm:t>
        <a:bodyPr/>
        <a:lstStyle/>
        <a:p>
          <a:endParaRPr lang="es-DO"/>
        </a:p>
      </dgm:t>
    </dgm:pt>
    <dgm:pt modelId="{F7760AA7-DC0C-4B94-ABB7-A8B25281A91C}" type="sibTrans" cxnId="{8A14FE0F-FEF9-42C5-AB43-E10081A23CB0}">
      <dgm:prSet/>
      <dgm:spPr/>
      <dgm:t>
        <a:bodyPr/>
        <a:lstStyle/>
        <a:p>
          <a:endParaRPr lang="es-DO"/>
        </a:p>
      </dgm:t>
    </dgm:pt>
    <dgm:pt modelId="{607B49CE-D740-4F7C-A88A-869DC5A5F682}">
      <dgm:prSet phldrT="[Text]"/>
      <dgm:spPr/>
      <dgm:t>
        <a:bodyPr/>
        <a:lstStyle/>
        <a:p>
          <a:r>
            <a:rPr lang="es-DO" b="0" i="0" u="none" dirty="0">
              <a:solidFill>
                <a:sysClr val="windowText" lastClr="000000"/>
              </a:solidFill>
            </a:rPr>
            <a:t>Plan de Validación</a:t>
          </a:r>
          <a:endParaRPr lang="es-DO" dirty="0">
            <a:solidFill>
              <a:sysClr val="windowText" lastClr="000000"/>
            </a:solidFill>
          </a:endParaRPr>
        </a:p>
      </dgm:t>
    </dgm:pt>
    <dgm:pt modelId="{1CE1E6D6-5DBB-4FC9-923F-61D7B4B8B1E6}" type="parTrans" cxnId="{55D9CE93-2393-4618-B188-FC0C52FBD0C7}">
      <dgm:prSet/>
      <dgm:spPr/>
      <dgm:t>
        <a:bodyPr/>
        <a:lstStyle/>
        <a:p>
          <a:endParaRPr lang="es-DO"/>
        </a:p>
      </dgm:t>
    </dgm:pt>
    <dgm:pt modelId="{6411B09D-89D0-44FE-996C-6C4140C17BEB}" type="sibTrans" cxnId="{55D9CE93-2393-4618-B188-FC0C52FBD0C7}">
      <dgm:prSet/>
      <dgm:spPr/>
      <dgm:t>
        <a:bodyPr/>
        <a:lstStyle/>
        <a:p>
          <a:endParaRPr lang="es-DO"/>
        </a:p>
      </dgm:t>
    </dgm:pt>
    <dgm:pt modelId="{0EB3F901-0556-473E-AF38-DB5ECF3EF495}">
      <dgm:prSet phldrT="[Text]"/>
      <dgm:spPr/>
      <dgm:t>
        <a:bodyPr/>
        <a:lstStyle/>
        <a:p>
          <a:r>
            <a:rPr lang="es-DO" b="0" i="0" u="none" dirty="0">
              <a:solidFill>
                <a:sysClr val="windowText" lastClr="000000"/>
              </a:solidFill>
            </a:rPr>
            <a:t>Necesidades, Objetivos y Afectados</a:t>
          </a:r>
          <a:endParaRPr lang="es-DO" dirty="0">
            <a:solidFill>
              <a:sysClr val="windowText" lastClr="000000"/>
            </a:solidFill>
          </a:endParaRPr>
        </a:p>
      </dgm:t>
    </dgm:pt>
    <dgm:pt modelId="{F22B4767-2EFB-4483-9DFD-6D0858194634}" type="parTrans" cxnId="{31503375-A44F-46FB-AE65-4AAF2011F867}">
      <dgm:prSet/>
      <dgm:spPr/>
    </dgm:pt>
    <dgm:pt modelId="{D1247132-9614-4739-BD40-B387344201B7}" type="sibTrans" cxnId="{31503375-A44F-46FB-AE65-4AAF2011F867}">
      <dgm:prSet/>
      <dgm:spPr/>
    </dgm:pt>
    <dgm:pt modelId="{7C94C045-7AD9-41C2-BD8F-F43F9A2C5A14}" type="pres">
      <dgm:prSet presAssocID="{57B1E6D2-7F07-4964-8C61-49D378D9E9FF}" presName="diagram" presStyleCnt="0">
        <dgm:presLayoutVars>
          <dgm:dir/>
          <dgm:resizeHandles val="exact"/>
        </dgm:presLayoutVars>
      </dgm:prSet>
      <dgm:spPr/>
    </dgm:pt>
    <dgm:pt modelId="{973B3D41-01FB-4B65-90D1-79F312A8539A}" type="pres">
      <dgm:prSet presAssocID="{BDEA1015-4F67-4D75-9DCA-35985006FD79}" presName="node" presStyleLbl="node1" presStyleIdx="0" presStyleCnt="7">
        <dgm:presLayoutVars>
          <dgm:bulletEnabled val="1"/>
        </dgm:presLayoutVars>
      </dgm:prSet>
      <dgm:spPr/>
    </dgm:pt>
    <dgm:pt modelId="{415835F0-9AB1-4C7E-9C9B-3A1B67807533}" type="pres">
      <dgm:prSet presAssocID="{A61564E5-C7D8-4DB0-A425-5892B4279888}" presName="sibTrans" presStyleLbl="sibTrans2D1" presStyleIdx="0" presStyleCnt="6"/>
      <dgm:spPr/>
    </dgm:pt>
    <dgm:pt modelId="{77487BB3-DC2A-40C4-B556-DC58215B21BA}" type="pres">
      <dgm:prSet presAssocID="{A61564E5-C7D8-4DB0-A425-5892B4279888}" presName="connectorText" presStyleLbl="sibTrans2D1" presStyleIdx="0" presStyleCnt="6"/>
      <dgm:spPr/>
    </dgm:pt>
    <dgm:pt modelId="{7E88A05C-BBBC-457A-A002-096EF3EB0026}" type="pres">
      <dgm:prSet presAssocID="{98E62B67-E424-45AD-B1AF-222A09A8E742}" presName="node" presStyleLbl="node1" presStyleIdx="1" presStyleCnt="7">
        <dgm:presLayoutVars>
          <dgm:bulletEnabled val="1"/>
        </dgm:presLayoutVars>
      </dgm:prSet>
      <dgm:spPr/>
    </dgm:pt>
    <dgm:pt modelId="{D1DCA45B-62B2-431A-85F7-9480DEC1D4FB}" type="pres">
      <dgm:prSet presAssocID="{FE268F06-B9C9-40EF-8A06-FEA19F356248}" presName="sibTrans" presStyleLbl="sibTrans2D1" presStyleIdx="1" presStyleCnt="6"/>
      <dgm:spPr/>
    </dgm:pt>
    <dgm:pt modelId="{07C4F589-7AA0-49AF-BF26-C24A267EEDBA}" type="pres">
      <dgm:prSet presAssocID="{FE268F06-B9C9-40EF-8A06-FEA19F356248}" presName="connectorText" presStyleLbl="sibTrans2D1" presStyleIdx="1" presStyleCnt="6"/>
      <dgm:spPr/>
    </dgm:pt>
    <dgm:pt modelId="{77A4B642-7E10-4EAC-B5DD-80FD111B1C45}" type="pres">
      <dgm:prSet presAssocID="{2B7E20BD-3CEB-4510-97BA-AA175C936B25}" presName="node" presStyleLbl="node1" presStyleIdx="2" presStyleCnt="7">
        <dgm:presLayoutVars>
          <dgm:bulletEnabled val="1"/>
        </dgm:presLayoutVars>
      </dgm:prSet>
      <dgm:spPr/>
    </dgm:pt>
    <dgm:pt modelId="{983B6711-B5AA-4CAD-A4F6-9918064257B8}" type="pres">
      <dgm:prSet presAssocID="{F8F7438E-4333-4FD9-AF1B-C4022CBCDFC8}" presName="sibTrans" presStyleLbl="sibTrans2D1" presStyleIdx="2" presStyleCnt="6"/>
      <dgm:spPr/>
    </dgm:pt>
    <dgm:pt modelId="{49E5A6F7-0B06-4135-8059-EEC0A2768182}" type="pres">
      <dgm:prSet presAssocID="{F8F7438E-4333-4FD9-AF1B-C4022CBCDFC8}" presName="connectorText" presStyleLbl="sibTrans2D1" presStyleIdx="2" presStyleCnt="6"/>
      <dgm:spPr/>
    </dgm:pt>
    <dgm:pt modelId="{0D5F221A-A95B-45EF-B814-89A710C47951}" type="pres">
      <dgm:prSet presAssocID="{AF60FF14-F74B-4375-B6F8-FD1AA7051CCA}" presName="node" presStyleLbl="node1" presStyleIdx="3" presStyleCnt="7">
        <dgm:presLayoutVars>
          <dgm:bulletEnabled val="1"/>
        </dgm:presLayoutVars>
      </dgm:prSet>
      <dgm:spPr/>
    </dgm:pt>
    <dgm:pt modelId="{90C1D3D6-794B-4454-B1E7-2CF6D0393791}" type="pres">
      <dgm:prSet presAssocID="{3557C9E3-C1FB-4BAD-B2CB-C4C712F9DC60}" presName="sibTrans" presStyleLbl="sibTrans2D1" presStyleIdx="3" presStyleCnt="6"/>
      <dgm:spPr/>
    </dgm:pt>
    <dgm:pt modelId="{D92D09F6-F3BD-4B87-8D20-2EB1DCC238BD}" type="pres">
      <dgm:prSet presAssocID="{3557C9E3-C1FB-4BAD-B2CB-C4C712F9DC60}" presName="connectorText" presStyleLbl="sibTrans2D1" presStyleIdx="3" presStyleCnt="6"/>
      <dgm:spPr/>
    </dgm:pt>
    <dgm:pt modelId="{5EBCB062-C4D3-44DB-BE20-1037BC7473D5}" type="pres">
      <dgm:prSet presAssocID="{4D99F955-351A-4515-8A21-8F1AD323319D}" presName="node" presStyleLbl="node1" presStyleIdx="4" presStyleCnt="7">
        <dgm:presLayoutVars>
          <dgm:bulletEnabled val="1"/>
        </dgm:presLayoutVars>
      </dgm:prSet>
      <dgm:spPr/>
    </dgm:pt>
    <dgm:pt modelId="{5954DDF5-6A8E-468B-BFA4-02CA3002A49E}" type="pres">
      <dgm:prSet presAssocID="{8DCCF0C7-601E-4FC9-B9AD-1CD0C120B823}" presName="sibTrans" presStyleLbl="sibTrans2D1" presStyleIdx="4" presStyleCnt="6"/>
      <dgm:spPr/>
    </dgm:pt>
    <dgm:pt modelId="{69A07470-753C-405E-A506-CF9375A7356F}" type="pres">
      <dgm:prSet presAssocID="{8DCCF0C7-601E-4FC9-B9AD-1CD0C120B823}" presName="connectorText" presStyleLbl="sibTrans2D1" presStyleIdx="4" presStyleCnt="6"/>
      <dgm:spPr/>
    </dgm:pt>
    <dgm:pt modelId="{1120A2ED-B9A4-4FDE-A4E1-4EE00EF990C4}" type="pres">
      <dgm:prSet presAssocID="{76AE7299-54A1-4E56-99B7-C6012F51F534}" presName="node" presStyleLbl="node1" presStyleIdx="5" presStyleCnt="7">
        <dgm:presLayoutVars>
          <dgm:bulletEnabled val="1"/>
        </dgm:presLayoutVars>
      </dgm:prSet>
      <dgm:spPr/>
    </dgm:pt>
    <dgm:pt modelId="{5B32C2A7-B21E-49FE-803C-EE3080E39B37}" type="pres">
      <dgm:prSet presAssocID="{435B7DC2-261A-4F40-A0A0-D45B09057C35}" presName="sibTrans" presStyleLbl="sibTrans2D1" presStyleIdx="5" presStyleCnt="6"/>
      <dgm:spPr/>
    </dgm:pt>
    <dgm:pt modelId="{9E73CE37-0FE0-43AA-9A45-D7FF2684370B}" type="pres">
      <dgm:prSet presAssocID="{435B7DC2-261A-4F40-A0A0-D45B09057C35}" presName="connectorText" presStyleLbl="sibTrans2D1" presStyleIdx="5" presStyleCnt="6"/>
      <dgm:spPr/>
    </dgm:pt>
    <dgm:pt modelId="{990BE5E3-FA21-4DC1-A5A4-969E9F950332}" type="pres">
      <dgm:prSet presAssocID="{02F13EE6-55CE-4BC1-A885-19E90BD1478D}" presName="node" presStyleLbl="node1" presStyleIdx="6" presStyleCnt="7">
        <dgm:presLayoutVars>
          <dgm:bulletEnabled val="1"/>
        </dgm:presLayoutVars>
      </dgm:prSet>
      <dgm:spPr/>
    </dgm:pt>
  </dgm:ptLst>
  <dgm:cxnLst>
    <dgm:cxn modelId="{66735403-3D41-4D2D-9658-EC78919F330B}" srcId="{57B1E6D2-7F07-4964-8C61-49D378D9E9FF}" destId="{AF60FF14-F74B-4375-B6F8-FD1AA7051CCA}" srcOrd="3" destOrd="0" parTransId="{782E6246-CB32-4B6A-BBCE-71E6255DAC52}" sibTransId="{3557C9E3-C1FB-4BAD-B2CB-C4C712F9DC60}"/>
    <dgm:cxn modelId="{909FF506-E2D2-4053-83C8-E3E7377BFD3B}" type="presOf" srcId="{D6E877B4-64C4-48D2-B138-429436F65196}" destId="{1120A2ED-B9A4-4FDE-A4E1-4EE00EF990C4}" srcOrd="0" destOrd="1" presId="urn:microsoft.com/office/officeart/2005/8/layout/process5"/>
    <dgm:cxn modelId="{22302209-8306-422E-8B64-7C3247777D5D}" type="presOf" srcId="{02F13EE6-55CE-4BC1-A885-19E90BD1478D}" destId="{990BE5E3-FA21-4DC1-A5A4-969E9F950332}" srcOrd="0" destOrd="0" presId="urn:microsoft.com/office/officeart/2005/8/layout/process5"/>
    <dgm:cxn modelId="{8A14FE0F-FEF9-42C5-AB43-E10081A23CB0}" srcId="{76AE7299-54A1-4E56-99B7-C6012F51F534}" destId="{C0D72C98-BD43-4240-80B6-E938C734DA73}" srcOrd="1" destOrd="0" parTransId="{1FA73061-1225-48FE-9C91-6B6469BB0599}" sibTransId="{F7760AA7-DC0C-4B94-ABB7-A8B25281A91C}"/>
    <dgm:cxn modelId="{6350AF11-BF6E-4E77-B785-DD2A7A43370E}" type="presOf" srcId="{4D99F955-351A-4515-8A21-8F1AD323319D}" destId="{5EBCB062-C4D3-44DB-BE20-1037BC7473D5}" srcOrd="0" destOrd="0" presId="urn:microsoft.com/office/officeart/2005/8/layout/process5"/>
    <dgm:cxn modelId="{3FE0A114-3F75-464D-B988-3384DAA13C6C}" type="presOf" srcId="{0B1A18ED-12CC-474E-BE9F-7F4DC4205607}" destId="{7E88A05C-BBBC-457A-A002-096EF3EB0026}" srcOrd="0" destOrd="3" presId="urn:microsoft.com/office/officeart/2005/8/layout/process5"/>
    <dgm:cxn modelId="{1A8EBB17-E43C-442F-BCBA-878D55E862A8}" type="presOf" srcId="{435B7DC2-261A-4F40-A0A0-D45B09057C35}" destId="{5B32C2A7-B21E-49FE-803C-EE3080E39B37}" srcOrd="0" destOrd="0" presId="urn:microsoft.com/office/officeart/2005/8/layout/process5"/>
    <dgm:cxn modelId="{36ED5919-BC4F-47B1-8DE3-18306C3E23EE}" type="presOf" srcId="{607B49CE-D740-4F7C-A88A-869DC5A5F682}" destId="{1120A2ED-B9A4-4FDE-A4E1-4EE00EF990C4}" srcOrd="0" destOrd="3" presId="urn:microsoft.com/office/officeart/2005/8/layout/process5"/>
    <dgm:cxn modelId="{A82D431B-C6C0-4FC6-A5D0-3B52781D3F17}" srcId="{2B7E20BD-3CEB-4510-97BA-AA175C936B25}" destId="{43690DE5-6452-45D2-9B8C-BF1C8A36BFFA}" srcOrd="0" destOrd="0" parTransId="{A3EEC4F3-FA69-4618-8448-B2259164FA48}" sibTransId="{57C4C1D5-3E93-461D-B652-D83CA7C3703E}"/>
    <dgm:cxn modelId="{0030871B-C1D2-4B0B-BC25-4039B001D5DC}" type="presOf" srcId="{BDEA1015-4F67-4D75-9DCA-35985006FD79}" destId="{973B3D41-01FB-4B65-90D1-79F312A8539A}" srcOrd="0" destOrd="0" presId="urn:microsoft.com/office/officeart/2005/8/layout/process5"/>
    <dgm:cxn modelId="{B29DB01D-450E-49F1-AA50-364BD1689076}" srcId="{AF60FF14-F74B-4375-B6F8-FD1AA7051CCA}" destId="{B97B4434-AF7E-4B6D-ABCF-06F47CA1F807}" srcOrd="2" destOrd="0" parTransId="{8A4F7EB5-C194-4190-BD47-FAFA54D2719F}" sibTransId="{7C40FD25-C416-4D33-8123-016726F788F4}"/>
    <dgm:cxn modelId="{B886461E-1207-4B39-ADC1-53C942FFC475}" type="presOf" srcId="{57B1E6D2-7F07-4964-8C61-49D378D9E9FF}" destId="{7C94C045-7AD9-41C2-BD8F-F43F9A2C5A14}" srcOrd="0" destOrd="0" presId="urn:microsoft.com/office/officeart/2005/8/layout/process5"/>
    <dgm:cxn modelId="{67D5F11F-4F2B-400E-BD3B-598E74C439C3}" srcId="{57B1E6D2-7F07-4964-8C61-49D378D9E9FF}" destId="{4D99F955-351A-4515-8A21-8F1AD323319D}" srcOrd="4" destOrd="0" parTransId="{1AA9D996-DB2C-42A4-A399-3CDEB10CD25B}" sibTransId="{8DCCF0C7-601E-4FC9-B9AD-1CD0C120B823}"/>
    <dgm:cxn modelId="{DD6F5721-14E5-47F0-AB0D-6402E73A3757}" srcId="{02F13EE6-55CE-4BC1-A885-19E90BD1478D}" destId="{9DDA2567-5F38-4496-8138-64859DB7115B}" srcOrd="2" destOrd="0" parTransId="{D3C93163-4F42-42D8-8E89-57E093072697}" sibTransId="{55853CF9-FABB-4E3F-96EA-3E2248250973}"/>
    <dgm:cxn modelId="{5102C926-6E8C-4B99-85EA-22F85FA37B80}" srcId="{4D99F955-351A-4515-8A21-8F1AD323319D}" destId="{7465F21A-CFBD-4998-87C8-4C99722A659D}" srcOrd="1" destOrd="0" parTransId="{1A2F36E8-F2EE-47B8-AC77-462C93E22820}" sibTransId="{F1251B68-E816-4094-AB0E-1A493C9C7863}"/>
    <dgm:cxn modelId="{1D4B0729-ABAF-4D95-BB9A-F252AE594791}" type="presOf" srcId="{87EBF3A9-AA0C-48FE-8AEC-1D1124B4DDDE}" destId="{0D5F221A-A95B-45EF-B814-89A710C47951}" srcOrd="0" destOrd="1" presId="urn:microsoft.com/office/officeart/2005/8/layout/process5"/>
    <dgm:cxn modelId="{FA90702B-0A48-476C-AA2D-D1EFB814409E}" srcId="{98E62B67-E424-45AD-B1AF-222A09A8E742}" destId="{781CD8C8-954C-4ECA-9164-851106CEF2AE}" srcOrd="0" destOrd="0" parTransId="{DABC34A4-273B-489B-98BD-F958F2CA9A5B}" sibTransId="{0CCCD518-0440-4217-BA20-CA647AA604DD}"/>
    <dgm:cxn modelId="{227D5731-3F78-4478-A27D-8F9890B74C2C}" srcId="{2B7E20BD-3CEB-4510-97BA-AA175C936B25}" destId="{79835845-8FE3-4286-A1D4-8E931C88295F}" srcOrd="1" destOrd="0" parTransId="{3165E499-883E-4818-8E21-774CD258E010}" sibTransId="{88EFB3F6-A418-4F74-AFA6-E7DAD3011579}"/>
    <dgm:cxn modelId="{6AF6EF37-CA50-40DC-B312-DBDFE896728B}" type="presOf" srcId="{8DCCF0C7-601E-4FC9-B9AD-1CD0C120B823}" destId="{69A07470-753C-405E-A506-CF9375A7356F}" srcOrd="1" destOrd="0" presId="urn:microsoft.com/office/officeart/2005/8/layout/process5"/>
    <dgm:cxn modelId="{BF338939-858E-43DB-B61E-CDA3A478E732}" srcId="{57B1E6D2-7F07-4964-8C61-49D378D9E9FF}" destId="{98E62B67-E424-45AD-B1AF-222A09A8E742}" srcOrd="1" destOrd="0" parTransId="{9DE025C5-6A24-46F4-B89D-3D89AEA60880}" sibTransId="{FE268F06-B9C9-40EF-8A06-FEA19F356248}"/>
    <dgm:cxn modelId="{5FDA2B5D-E80A-4DCD-BFA7-0922EE770D8E}" type="presOf" srcId="{0EB3F901-0556-473E-AF38-DB5ECF3EF495}" destId="{973B3D41-01FB-4B65-90D1-79F312A8539A}" srcOrd="0" destOrd="1" presId="urn:microsoft.com/office/officeart/2005/8/layout/process5"/>
    <dgm:cxn modelId="{8E92AD5D-EB70-47CF-8B9B-585BC94F70CA}" type="presOf" srcId="{1130BA55-25F5-41F6-B161-7D4172F8EC20}" destId="{990BE5E3-FA21-4DC1-A5A4-969E9F950332}" srcOrd="0" destOrd="2" presId="urn:microsoft.com/office/officeart/2005/8/layout/process5"/>
    <dgm:cxn modelId="{F4959060-FCE7-4B6E-868E-38260352B431}" type="presOf" srcId="{43690DE5-6452-45D2-9B8C-BF1C8A36BFFA}" destId="{77A4B642-7E10-4EAC-B5DD-80FD111B1C45}" srcOrd="0" destOrd="1" presId="urn:microsoft.com/office/officeart/2005/8/layout/process5"/>
    <dgm:cxn modelId="{83240941-5484-4AA5-96AA-1DA680668645}" srcId="{BDEA1015-4F67-4D75-9DCA-35985006FD79}" destId="{3F5917F8-7155-4B29-B77D-573C9CD207FA}" srcOrd="1" destOrd="0" parTransId="{4B2FCBC2-A45C-4C3F-A2AD-35E8F23598C9}" sibTransId="{AD241F5A-6191-4C99-8D50-7E18DE75E99F}"/>
    <dgm:cxn modelId="{5A9F2461-EA44-461F-861C-193CF1682F99}" type="presOf" srcId="{2B7E20BD-3CEB-4510-97BA-AA175C936B25}" destId="{77A4B642-7E10-4EAC-B5DD-80FD111B1C45}" srcOrd="0" destOrd="0" presId="urn:microsoft.com/office/officeart/2005/8/layout/process5"/>
    <dgm:cxn modelId="{9149E864-F4C2-4C39-A8EE-C69AB37EFDB1}" type="presOf" srcId="{7465F21A-CFBD-4998-87C8-4C99722A659D}" destId="{5EBCB062-C4D3-44DB-BE20-1037BC7473D5}" srcOrd="0" destOrd="2" presId="urn:microsoft.com/office/officeart/2005/8/layout/process5"/>
    <dgm:cxn modelId="{5D26614B-63A0-4BEB-BF46-4EBC1DD2AB5F}" type="presOf" srcId="{9DDA2567-5F38-4496-8138-64859DB7115B}" destId="{990BE5E3-FA21-4DC1-A5A4-969E9F950332}" srcOrd="0" destOrd="3" presId="urn:microsoft.com/office/officeart/2005/8/layout/process5"/>
    <dgm:cxn modelId="{4FFCE84B-FA46-4F51-92CA-E1E0318849AD}" type="presOf" srcId="{3557C9E3-C1FB-4BAD-B2CB-C4C712F9DC60}" destId="{D92D09F6-F3BD-4B87-8D20-2EB1DCC238BD}" srcOrd="1" destOrd="0" presId="urn:microsoft.com/office/officeart/2005/8/layout/process5"/>
    <dgm:cxn modelId="{94B2634C-3476-429C-8C51-0167A6903060}" srcId="{02F13EE6-55CE-4BC1-A885-19E90BD1478D}" destId="{1130BA55-25F5-41F6-B161-7D4172F8EC20}" srcOrd="1" destOrd="0" parTransId="{632F1895-3556-4341-BBF7-00054B9DA625}" sibTransId="{C87ECAF8-4556-491A-9EED-68AB88F63976}"/>
    <dgm:cxn modelId="{4CED3970-B90E-48F8-9222-34A716692B9C}" srcId="{98E62B67-E424-45AD-B1AF-222A09A8E742}" destId="{0B1A18ED-12CC-474E-BE9F-7F4DC4205607}" srcOrd="2" destOrd="0" parTransId="{18770D52-23F5-4E68-BD6D-D4F30B4825FC}" sibTransId="{CF46F371-2DAF-4B10-9C20-45FA8E3C7058}"/>
    <dgm:cxn modelId="{0FDDE151-09DC-4F3D-AE7D-0B9F10A11D09}" type="presOf" srcId="{76AE7299-54A1-4E56-99B7-C6012F51F534}" destId="{1120A2ED-B9A4-4FDE-A4E1-4EE00EF990C4}" srcOrd="0" destOrd="0" presId="urn:microsoft.com/office/officeart/2005/8/layout/process5"/>
    <dgm:cxn modelId="{396D8B53-8998-4B47-8A9E-9252E0D5EEFA}" srcId="{AF60FF14-F74B-4375-B6F8-FD1AA7051CCA}" destId="{87EBF3A9-AA0C-48FE-8AEC-1D1124B4DDDE}" srcOrd="0" destOrd="0" parTransId="{E30C27A0-533D-4F71-8789-389C55563F43}" sibTransId="{5CDA13CE-027E-4C1B-BDE8-24C1404FDA67}"/>
    <dgm:cxn modelId="{151FC274-2474-4B58-8341-AC6C3FA57547}" type="presOf" srcId="{98E62B67-E424-45AD-B1AF-222A09A8E742}" destId="{7E88A05C-BBBC-457A-A002-096EF3EB0026}" srcOrd="0" destOrd="0" presId="urn:microsoft.com/office/officeart/2005/8/layout/process5"/>
    <dgm:cxn modelId="{31503375-A44F-46FB-AE65-4AAF2011F867}" srcId="{BDEA1015-4F67-4D75-9DCA-35985006FD79}" destId="{0EB3F901-0556-473E-AF38-DB5ECF3EF495}" srcOrd="0" destOrd="0" parTransId="{F22B4767-2EFB-4483-9DFD-6D0858194634}" sibTransId="{D1247132-9614-4739-BD40-B387344201B7}"/>
    <dgm:cxn modelId="{5B2E0277-4C9C-4E78-AD8B-787F1AC716FC}" type="presOf" srcId="{A61564E5-C7D8-4DB0-A425-5892B4279888}" destId="{77487BB3-DC2A-40C4-B556-DC58215B21BA}" srcOrd="1" destOrd="0" presId="urn:microsoft.com/office/officeart/2005/8/layout/process5"/>
    <dgm:cxn modelId="{54962677-4042-41D7-B531-2BAB3078A266}" type="presOf" srcId="{3557C9E3-C1FB-4BAD-B2CB-C4C712F9DC60}" destId="{90C1D3D6-794B-4454-B1E7-2CF6D0393791}" srcOrd="0" destOrd="0" presId="urn:microsoft.com/office/officeart/2005/8/layout/process5"/>
    <dgm:cxn modelId="{CF84C457-088D-421D-A5F2-BBB144C25F79}" type="presOf" srcId="{B97B4434-AF7E-4B6D-ABCF-06F47CA1F807}" destId="{0D5F221A-A95B-45EF-B814-89A710C47951}" srcOrd="0" destOrd="3" presId="urn:microsoft.com/office/officeart/2005/8/layout/process5"/>
    <dgm:cxn modelId="{A7AAD478-466B-4E9F-9748-890A0373D616}" type="presOf" srcId="{1C140BCF-5FEF-4838-87DF-CD79CF516282}" destId="{990BE5E3-FA21-4DC1-A5A4-969E9F950332}" srcOrd="0" destOrd="1" presId="urn:microsoft.com/office/officeart/2005/8/layout/process5"/>
    <dgm:cxn modelId="{EA53265A-47BF-47F4-9F71-E0C7D7EE7E97}" type="presOf" srcId="{8DCCF0C7-601E-4FC9-B9AD-1CD0C120B823}" destId="{5954DDF5-6A8E-468B-BFA4-02CA3002A49E}" srcOrd="0" destOrd="0" presId="urn:microsoft.com/office/officeart/2005/8/layout/process5"/>
    <dgm:cxn modelId="{6329967A-BB2A-4706-85E8-676341964912}" srcId="{76AE7299-54A1-4E56-99B7-C6012F51F534}" destId="{D6E877B4-64C4-48D2-B138-429436F65196}" srcOrd="0" destOrd="0" parTransId="{D337E5F3-8106-4E9D-B4BF-2880D13C6F39}" sibTransId="{8E784301-66DE-4299-9D5C-C04E88D10C8C}"/>
    <dgm:cxn modelId="{FEAF947D-4FC2-4575-92F8-7AE8F285C79E}" type="presOf" srcId="{70D77EC5-E92A-4F8F-AB87-FEC238884B8B}" destId="{7E88A05C-BBBC-457A-A002-096EF3EB0026}" srcOrd="0" destOrd="2" presId="urn:microsoft.com/office/officeart/2005/8/layout/process5"/>
    <dgm:cxn modelId="{D657B48B-C98F-4EA2-A92D-12A496F2FE13}" type="presOf" srcId="{C0D72C98-BD43-4240-80B6-E938C734DA73}" destId="{1120A2ED-B9A4-4FDE-A4E1-4EE00EF990C4}" srcOrd="0" destOrd="2" presId="urn:microsoft.com/office/officeart/2005/8/layout/process5"/>
    <dgm:cxn modelId="{55D9CE93-2393-4618-B188-FC0C52FBD0C7}" srcId="{76AE7299-54A1-4E56-99B7-C6012F51F534}" destId="{607B49CE-D740-4F7C-A88A-869DC5A5F682}" srcOrd="2" destOrd="0" parTransId="{1CE1E6D6-5DBB-4FC9-923F-61D7B4B8B1E6}" sibTransId="{6411B09D-89D0-44FE-996C-6C4140C17BEB}"/>
    <dgm:cxn modelId="{8EC56C95-9131-4344-9201-6FD5002B7083}" type="presOf" srcId="{AF60FF14-F74B-4375-B6F8-FD1AA7051CCA}" destId="{0D5F221A-A95B-45EF-B814-89A710C47951}" srcOrd="0" destOrd="0" presId="urn:microsoft.com/office/officeart/2005/8/layout/process5"/>
    <dgm:cxn modelId="{46F7269D-55ED-4764-9132-F760734E4360}" type="presOf" srcId="{781CD8C8-954C-4ECA-9164-851106CEF2AE}" destId="{7E88A05C-BBBC-457A-A002-096EF3EB0026}" srcOrd="0" destOrd="1" presId="urn:microsoft.com/office/officeart/2005/8/layout/process5"/>
    <dgm:cxn modelId="{EABB9DA1-2C8D-4CFD-9142-7DB86FE48048}" srcId="{57B1E6D2-7F07-4964-8C61-49D378D9E9FF}" destId="{2B7E20BD-3CEB-4510-97BA-AA175C936B25}" srcOrd="2" destOrd="0" parTransId="{44BB5260-7EF7-425A-9D9D-77B202FAD685}" sibTransId="{F8F7438E-4333-4FD9-AF1B-C4022CBCDFC8}"/>
    <dgm:cxn modelId="{AAFA67B2-B793-4886-951E-FBA36AA82F35}" srcId="{02F13EE6-55CE-4BC1-A885-19E90BD1478D}" destId="{1C140BCF-5FEF-4838-87DF-CD79CF516282}" srcOrd="0" destOrd="0" parTransId="{BF27D82F-4F64-4BE8-AAC1-52E939575A0E}" sibTransId="{C71B7F84-3C99-44EC-ABD9-8B6E69FB6A9A}"/>
    <dgm:cxn modelId="{760C03BE-E014-47CB-B5DD-F7C1EFC8F7D2}" type="presOf" srcId="{F8F7438E-4333-4FD9-AF1B-C4022CBCDFC8}" destId="{983B6711-B5AA-4CAD-A4F6-9918064257B8}" srcOrd="0" destOrd="0" presId="urn:microsoft.com/office/officeart/2005/8/layout/process5"/>
    <dgm:cxn modelId="{213170C7-2727-40B7-9FF5-13F5D979F264}" type="presOf" srcId="{A61564E5-C7D8-4DB0-A425-5892B4279888}" destId="{415835F0-9AB1-4C7E-9C9B-3A1B67807533}" srcOrd="0" destOrd="0" presId="urn:microsoft.com/office/officeart/2005/8/layout/process5"/>
    <dgm:cxn modelId="{53A0E8C9-6ABE-461C-8A3E-CAB860EC2E1E}" srcId="{4D99F955-351A-4515-8A21-8F1AD323319D}" destId="{FB39569A-8D4C-4C33-9178-4195F9BCE599}" srcOrd="0" destOrd="0" parTransId="{18C13126-D3F5-4044-88DB-FC83B85436A4}" sibTransId="{BBFD2C30-6EFC-4C57-A7B2-55BB21BB1831}"/>
    <dgm:cxn modelId="{AC34E4D0-CCE7-42B9-87FB-4F82B43E771A}" type="presOf" srcId="{3F5917F8-7155-4B29-B77D-573C9CD207FA}" destId="{973B3D41-01FB-4B65-90D1-79F312A8539A}" srcOrd="0" destOrd="2" presId="urn:microsoft.com/office/officeart/2005/8/layout/process5"/>
    <dgm:cxn modelId="{D5161BD3-E09C-4A0E-874C-FE7BEA7D1B10}" srcId="{57B1E6D2-7F07-4964-8C61-49D378D9E9FF}" destId="{02F13EE6-55CE-4BC1-A885-19E90BD1478D}" srcOrd="6" destOrd="0" parTransId="{5BC4BBD8-F1F7-44DF-B713-11215DDA9E64}" sibTransId="{4F4DD4F3-B2DB-4DF1-B240-E495D7E62AB6}"/>
    <dgm:cxn modelId="{1A638CD6-178B-4C3E-8CDA-241F3F1A087D}" type="presOf" srcId="{F8F7438E-4333-4FD9-AF1B-C4022CBCDFC8}" destId="{49E5A6F7-0B06-4135-8059-EEC0A2768182}" srcOrd="1" destOrd="0" presId="urn:microsoft.com/office/officeart/2005/8/layout/process5"/>
    <dgm:cxn modelId="{F9DA4CDF-8FF3-4F48-AE03-BD8886615137}" type="presOf" srcId="{FE268F06-B9C9-40EF-8A06-FEA19F356248}" destId="{D1DCA45B-62B2-431A-85F7-9480DEC1D4FB}" srcOrd="0" destOrd="0" presId="urn:microsoft.com/office/officeart/2005/8/layout/process5"/>
    <dgm:cxn modelId="{132598E1-9D5C-45F1-801E-714345517657}" type="presOf" srcId="{79835845-8FE3-4286-A1D4-8E931C88295F}" destId="{77A4B642-7E10-4EAC-B5DD-80FD111B1C45}" srcOrd="0" destOrd="2" presId="urn:microsoft.com/office/officeart/2005/8/layout/process5"/>
    <dgm:cxn modelId="{B98B89E4-CB2B-4CFC-B410-DDC206643EB7}" type="presOf" srcId="{FB39569A-8D4C-4C33-9178-4195F9BCE599}" destId="{5EBCB062-C4D3-44DB-BE20-1037BC7473D5}" srcOrd="0" destOrd="1" presId="urn:microsoft.com/office/officeart/2005/8/layout/process5"/>
    <dgm:cxn modelId="{5CF2E6E5-8FA1-4B8C-95DD-6269D7B01E3A}" srcId="{AF60FF14-F74B-4375-B6F8-FD1AA7051CCA}" destId="{53AD78E6-B18B-48A0-A8AF-497A633BEEAD}" srcOrd="1" destOrd="0" parTransId="{DAC6AB87-431C-4920-917B-B32B42C1464C}" sibTransId="{34136955-639E-4730-8F7D-D71C0CC373BB}"/>
    <dgm:cxn modelId="{751A23E6-FB90-4B04-B00D-14B64D236BFA}" srcId="{98E62B67-E424-45AD-B1AF-222A09A8E742}" destId="{70D77EC5-E92A-4F8F-AB87-FEC238884B8B}" srcOrd="1" destOrd="0" parTransId="{4AE31B19-45FF-4A26-A42C-9ADD1FF261AE}" sibTransId="{6B94BA5D-1A47-463A-8C3B-655C4C4A6159}"/>
    <dgm:cxn modelId="{FB9394EF-E996-45AC-8712-9BC83D38EFC0}" type="presOf" srcId="{FE268F06-B9C9-40EF-8A06-FEA19F356248}" destId="{07C4F589-7AA0-49AF-BF26-C24A267EEDBA}" srcOrd="1" destOrd="0" presId="urn:microsoft.com/office/officeart/2005/8/layout/process5"/>
    <dgm:cxn modelId="{E9DB92F0-2897-4189-9860-ED63845E9A76}" srcId="{57B1E6D2-7F07-4964-8C61-49D378D9E9FF}" destId="{BDEA1015-4F67-4D75-9DCA-35985006FD79}" srcOrd="0" destOrd="0" parTransId="{77DDB4C7-34ED-4FB9-B1B9-B30D1E05E633}" sibTransId="{A61564E5-C7D8-4DB0-A425-5892B4279888}"/>
    <dgm:cxn modelId="{667EFBF5-527F-4E6E-9146-E47DFE1A73C3}" type="presOf" srcId="{53AD78E6-B18B-48A0-A8AF-497A633BEEAD}" destId="{0D5F221A-A95B-45EF-B814-89A710C47951}" srcOrd="0" destOrd="2" presId="urn:microsoft.com/office/officeart/2005/8/layout/process5"/>
    <dgm:cxn modelId="{231525F7-0F4A-44C4-877E-69C93E05D2DF}" srcId="{57B1E6D2-7F07-4964-8C61-49D378D9E9FF}" destId="{76AE7299-54A1-4E56-99B7-C6012F51F534}" srcOrd="5" destOrd="0" parTransId="{6B86B537-9947-40DC-B41F-7F2D071707C4}" sibTransId="{435B7DC2-261A-4F40-A0A0-D45B09057C35}"/>
    <dgm:cxn modelId="{8E6E4CFB-D345-40C9-9593-7C19B94DF6A9}" type="presOf" srcId="{435B7DC2-261A-4F40-A0A0-D45B09057C35}" destId="{9E73CE37-0FE0-43AA-9A45-D7FF2684370B}" srcOrd="1" destOrd="0" presId="urn:microsoft.com/office/officeart/2005/8/layout/process5"/>
    <dgm:cxn modelId="{78AB331B-1C24-4641-9200-DD5261E487D1}" type="presParOf" srcId="{7C94C045-7AD9-41C2-BD8F-F43F9A2C5A14}" destId="{973B3D41-01FB-4B65-90D1-79F312A8539A}" srcOrd="0" destOrd="0" presId="urn:microsoft.com/office/officeart/2005/8/layout/process5"/>
    <dgm:cxn modelId="{E763280D-9CA6-4DE0-8CE2-D07130D482DE}" type="presParOf" srcId="{7C94C045-7AD9-41C2-BD8F-F43F9A2C5A14}" destId="{415835F0-9AB1-4C7E-9C9B-3A1B67807533}" srcOrd="1" destOrd="0" presId="urn:microsoft.com/office/officeart/2005/8/layout/process5"/>
    <dgm:cxn modelId="{75E1FBA6-8C92-4F4C-9334-C297160BD7FA}" type="presParOf" srcId="{415835F0-9AB1-4C7E-9C9B-3A1B67807533}" destId="{77487BB3-DC2A-40C4-B556-DC58215B21BA}" srcOrd="0" destOrd="0" presId="urn:microsoft.com/office/officeart/2005/8/layout/process5"/>
    <dgm:cxn modelId="{AAA4A3FF-5AC4-49DA-A1B9-0EE6BD4AEA8A}" type="presParOf" srcId="{7C94C045-7AD9-41C2-BD8F-F43F9A2C5A14}" destId="{7E88A05C-BBBC-457A-A002-096EF3EB0026}" srcOrd="2" destOrd="0" presId="urn:microsoft.com/office/officeart/2005/8/layout/process5"/>
    <dgm:cxn modelId="{0FC79401-EFDC-4036-A533-86C15476C2E6}" type="presParOf" srcId="{7C94C045-7AD9-41C2-BD8F-F43F9A2C5A14}" destId="{D1DCA45B-62B2-431A-85F7-9480DEC1D4FB}" srcOrd="3" destOrd="0" presId="urn:microsoft.com/office/officeart/2005/8/layout/process5"/>
    <dgm:cxn modelId="{F5CE8371-9BEC-4C16-956A-5A63D1AE5CBE}" type="presParOf" srcId="{D1DCA45B-62B2-431A-85F7-9480DEC1D4FB}" destId="{07C4F589-7AA0-49AF-BF26-C24A267EEDBA}" srcOrd="0" destOrd="0" presId="urn:microsoft.com/office/officeart/2005/8/layout/process5"/>
    <dgm:cxn modelId="{B985B7A1-881D-4E94-AF3E-EC1AC5996003}" type="presParOf" srcId="{7C94C045-7AD9-41C2-BD8F-F43F9A2C5A14}" destId="{77A4B642-7E10-4EAC-B5DD-80FD111B1C45}" srcOrd="4" destOrd="0" presId="urn:microsoft.com/office/officeart/2005/8/layout/process5"/>
    <dgm:cxn modelId="{13F978B1-E6ED-4990-94B1-313DD38A6E72}" type="presParOf" srcId="{7C94C045-7AD9-41C2-BD8F-F43F9A2C5A14}" destId="{983B6711-B5AA-4CAD-A4F6-9918064257B8}" srcOrd="5" destOrd="0" presId="urn:microsoft.com/office/officeart/2005/8/layout/process5"/>
    <dgm:cxn modelId="{E75C7A7B-3F16-41E8-BFF7-B17D30C66E9C}" type="presParOf" srcId="{983B6711-B5AA-4CAD-A4F6-9918064257B8}" destId="{49E5A6F7-0B06-4135-8059-EEC0A2768182}" srcOrd="0" destOrd="0" presId="urn:microsoft.com/office/officeart/2005/8/layout/process5"/>
    <dgm:cxn modelId="{782EF33D-C269-4945-AB0D-276B4EFAD817}" type="presParOf" srcId="{7C94C045-7AD9-41C2-BD8F-F43F9A2C5A14}" destId="{0D5F221A-A95B-45EF-B814-89A710C47951}" srcOrd="6" destOrd="0" presId="urn:microsoft.com/office/officeart/2005/8/layout/process5"/>
    <dgm:cxn modelId="{059456B2-F72F-48ED-9ADC-01828F5629F7}" type="presParOf" srcId="{7C94C045-7AD9-41C2-BD8F-F43F9A2C5A14}" destId="{90C1D3D6-794B-4454-B1E7-2CF6D0393791}" srcOrd="7" destOrd="0" presId="urn:microsoft.com/office/officeart/2005/8/layout/process5"/>
    <dgm:cxn modelId="{11E37506-588E-441D-8606-48EDBA1AC3D6}" type="presParOf" srcId="{90C1D3D6-794B-4454-B1E7-2CF6D0393791}" destId="{D92D09F6-F3BD-4B87-8D20-2EB1DCC238BD}" srcOrd="0" destOrd="0" presId="urn:microsoft.com/office/officeart/2005/8/layout/process5"/>
    <dgm:cxn modelId="{62C2CC11-612D-4CB6-93E5-F3456273533C}" type="presParOf" srcId="{7C94C045-7AD9-41C2-BD8F-F43F9A2C5A14}" destId="{5EBCB062-C4D3-44DB-BE20-1037BC7473D5}" srcOrd="8" destOrd="0" presId="urn:microsoft.com/office/officeart/2005/8/layout/process5"/>
    <dgm:cxn modelId="{DEEE112C-B90E-4977-AE9B-C70FA736AA39}" type="presParOf" srcId="{7C94C045-7AD9-41C2-BD8F-F43F9A2C5A14}" destId="{5954DDF5-6A8E-468B-BFA4-02CA3002A49E}" srcOrd="9" destOrd="0" presId="urn:microsoft.com/office/officeart/2005/8/layout/process5"/>
    <dgm:cxn modelId="{00E8E4EE-DD58-4921-9B78-6AD4A23E6C0C}" type="presParOf" srcId="{5954DDF5-6A8E-468B-BFA4-02CA3002A49E}" destId="{69A07470-753C-405E-A506-CF9375A7356F}" srcOrd="0" destOrd="0" presId="urn:microsoft.com/office/officeart/2005/8/layout/process5"/>
    <dgm:cxn modelId="{8DD96404-8142-49C6-90D4-65C920D98655}" type="presParOf" srcId="{7C94C045-7AD9-41C2-BD8F-F43F9A2C5A14}" destId="{1120A2ED-B9A4-4FDE-A4E1-4EE00EF990C4}" srcOrd="10" destOrd="0" presId="urn:microsoft.com/office/officeart/2005/8/layout/process5"/>
    <dgm:cxn modelId="{CABF0F99-FB53-4B09-9179-95588B63A75C}" type="presParOf" srcId="{7C94C045-7AD9-41C2-BD8F-F43F9A2C5A14}" destId="{5B32C2A7-B21E-49FE-803C-EE3080E39B37}" srcOrd="11" destOrd="0" presId="urn:microsoft.com/office/officeart/2005/8/layout/process5"/>
    <dgm:cxn modelId="{FC01F4E7-42CC-4FEE-999A-DD41E97FC292}" type="presParOf" srcId="{5B32C2A7-B21E-49FE-803C-EE3080E39B37}" destId="{9E73CE37-0FE0-43AA-9A45-D7FF2684370B}" srcOrd="0" destOrd="0" presId="urn:microsoft.com/office/officeart/2005/8/layout/process5"/>
    <dgm:cxn modelId="{199A2205-9DD5-47B7-B88D-F19856883795}" type="presParOf" srcId="{7C94C045-7AD9-41C2-BD8F-F43F9A2C5A14}" destId="{990BE5E3-FA21-4DC1-A5A4-969E9F950332}" srcOrd="12" destOrd="0" presId="urn:microsoft.com/office/officeart/2005/8/layout/process5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ata3.xml><?xml version="1.0" encoding="utf-8"?>
<dgm:dataModel xmlns:dgm="http://schemas.openxmlformats.org/drawingml/2006/diagram" xmlns:a="http://schemas.openxmlformats.org/drawingml/2006/main">
  <dgm:ptLst>
    <dgm:pt modelId="{FA1F761D-A2A0-4C1A-9EE8-59FBD31FBA23}" type="doc">
      <dgm:prSet loTypeId="urn:diagrams.loki3.com/VaryingWidthList" loCatId="list" qsTypeId="urn:microsoft.com/office/officeart/2005/8/quickstyle/simple1" qsCatId="simple" csTypeId="urn:microsoft.com/office/officeart/2005/8/colors/colorful5" csCatId="colorful" phldr="1"/>
      <dgm:spPr/>
      <dgm:t>
        <a:bodyPr/>
        <a:lstStyle/>
        <a:p>
          <a:endParaRPr lang="es-DO"/>
        </a:p>
      </dgm:t>
    </dgm:pt>
    <dgm:pt modelId="{10695635-7545-4E12-BF3D-06A56AC2741F}">
      <dgm:prSet phldrT="[Text]"/>
      <dgm:spPr/>
      <dgm:t>
        <a:bodyPr/>
        <a:lstStyle/>
        <a:p>
          <a:r>
            <a:rPr lang="es-DO"/>
            <a:t>Index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1"/>
          </dgm14:cNvPr>
        </a:ext>
      </dgm:extLst>
    </dgm:pt>
    <dgm:pt modelId="{E27BD6D0-4A29-4702-8C56-39CD1D0250D2}" type="parTrans" cxnId="{C54F7073-055F-4A1B-804B-7386897DFA67}">
      <dgm:prSet/>
      <dgm:spPr/>
      <dgm:t>
        <a:bodyPr/>
        <a:lstStyle/>
        <a:p>
          <a:endParaRPr lang="es-DO"/>
        </a:p>
      </dgm:t>
    </dgm:pt>
    <dgm:pt modelId="{CE3734EF-AD2C-4BF6-B2B6-4A63C97860FA}" type="sibTrans" cxnId="{C54F7073-055F-4A1B-804B-7386897DFA67}">
      <dgm:prSet/>
      <dgm:spPr/>
      <dgm:t>
        <a:bodyPr/>
        <a:lstStyle/>
        <a:p>
          <a:endParaRPr lang="es-DO"/>
        </a:p>
      </dgm:t>
    </dgm:pt>
    <dgm:pt modelId="{4596B36A-AF36-4617-A757-96197A1BAED2}">
      <dgm:prSet phldrT="[Text]"/>
      <dgm:spPr/>
      <dgm:t>
        <a:bodyPr/>
        <a:lstStyle/>
        <a:p>
          <a:r>
            <a:rPr lang="es-DO"/>
            <a:t>Critical Design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2"/>
          </dgm14:cNvPr>
        </a:ext>
      </dgm:extLst>
    </dgm:pt>
    <dgm:pt modelId="{8610CAEC-5BF6-41EF-8EC0-A0EADA2BCBAD}" type="parTrans" cxnId="{53FCE40C-7682-4541-9B2C-9C44D25BA48C}">
      <dgm:prSet/>
      <dgm:spPr/>
      <dgm:t>
        <a:bodyPr/>
        <a:lstStyle/>
        <a:p>
          <a:endParaRPr lang="es-DO"/>
        </a:p>
      </dgm:t>
    </dgm:pt>
    <dgm:pt modelId="{A2071EA4-9B79-4701-B5AE-FC69AE373552}" type="sibTrans" cxnId="{53FCE40C-7682-4541-9B2C-9C44D25BA48C}">
      <dgm:prSet/>
      <dgm:spPr/>
      <dgm:t>
        <a:bodyPr/>
        <a:lstStyle/>
        <a:p>
          <a:endParaRPr lang="es-DO"/>
        </a:p>
      </dgm:t>
    </dgm:pt>
    <dgm:pt modelId="{FB83677A-1ECB-4CDD-857A-233C817CFA5D}">
      <dgm:prSet phldrT="[Text]"/>
      <dgm:spPr/>
      <dgm:t>
        <a:bodyPr/>
        <a:lstStyle/>
        <a:p>
          <a:r>
            <a:rPr lang="es-DO"/>
            <a:t>Requirements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3"/>
          </dgm14:cNvPr>
        </a:ext>
      </dgm:extLst>
    </dgm:pt>
    <dgm:pt modelId="{F559ACCE-EF5C-4FE1-91AD-2683F69443BA}" type="parTrans" cxnId="{C97D8215-B618-4A48-9325-6515B96C22DE}">
      <dgm:prSet/>
      <dgm:spPr/>
      <dgm:t>
        <a:bodyPr/>
        <a:lstStyle/>
        <a:p>
          <a:endParaRPr lang="es-DO"/>
        </a:p>
      </dgm:t>
    </dgm:pt>
    <dgm:pt modelId="{F04011D3-8D3C-4977-9445-6ACF41CB0A42}" type="sibTrans" cxnId="{C97D8215-B618-4A48-9325-6515B96C22DE}">
      <dgm:prSet/>
      <dgm:spPr/>
      <dgm:t>
        <a:bodyPr/>
        <a:lstStyle/>
        <a:p>
          <a:endParaRPr lang="es-DO"/>
        </a:p>
      </dgm:t>
    </dgm:pt>
    <dgm:pt modelId="{DB840677-10EB-45F8-8F89-83AC3F0AED5D}">
      <dgm:prSet phldrT="[Text]"/>
      <dgm:spPr/>
      <dgm:t>
        <a:bodyPr/>
        <a:lstStyle/>
        <a:p>
          <a:r>
            <a:rPr lang="es-DO"/>
            <a:t>Selection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4"/>
          </dgm14:cNvPr>
        </a:ext>
      </dgm:extLst>
    </dgm:pt>
    <dgm:pt modelId="{B8EAD7AF-8A62-4E95-A774-1E5CB57FD8C1}" type="parTrans" cxnId="{D7004D09-841D-4890-BC49-1176F8DBB7A6}">
      <dgm:prSet/>
      <dgm:spPr/>
      <dgm:t>
        <a:bodyPr/>
        <a:lstStyle/>
        <a:p>
          <a:endParaRPr lang="es-DO"/>
        </a:p>
      </dgm:t>
    </dgm:pt>
    <dgm:pt modelId="{9C36F56A-229E-4D8C-A75C-8F47C70A72B0}" type="sibTrans" cxnId="{D7004D09-841D-4890-BC49-1176F8DBB7A6}">
      <dgm:prSet/>
      <dgm:spPr/>
      <dgm:t>
        <a:bodyPr/>
        <a:lstStyle/>
        <a:p>
          <a:endParaRPr lang="es-DO"/>
        </a:p>
      </dgm:t>
    </dgm:pt>
    <dgm:pt modelId="{6E06BD31-ED76-4C66-84BB-1CAE5DC18FFD}">
      <dgm:prSet phldrT="[Text]"/>
      <dgm:spPr/>
      <dgm:t>
        <a:bodyPr/>
        <a:lstStyle/>
        <a:p>
          <a:r>
            <a:rPr lang="es-DO"/>
            <a:t>Planification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5"/>
          </dgm14:cNvPr>
        </a:ext>
      </dgm:extLst>
    </dgm:pt>
    <dgm:pt modelId="{C4329973-613A-4A47-95B2-FA1DF3237766}" type="parTrans" cxnId="{21B900B5-A43B-423C-9031-94C7E97EE719}">
      <dgm:prSet/>
      <dgm:spPr/>
      <dgm:t>
        <a:bodyPr/>
        <a:lstStyle/>
        <a:p>
          <a:endParaRPr lang="es-DO"/>
        </a:p>
      </dgm:t>
    </dgm:pt>
    <dgm:pt modelId="{0899BA4D-DD09-42D7-89EA-4F27D1EF613E}" type="sibTrans" cxnId="{21B900B5-A43B-423C-9031-94C7E97EE719}">
      <dgm:prSet/>
      <dgm:spPr/>
      <dgm:t>
        <a:bodyPr/>
        <a:lstStyle/>
        <a:p>
          <a:endParaRPr lang="es-DO"/>
        </a:p>
      </dgm:t>
    </dgm:pt>
    <dgm:pt modelId="{F7AC93BF-31E0-4FBE-96A5-7BF5657FDF6B}">
      <dgm:prSet phldrT="[Text]"/>
      <dgm:spPr/>
      <dgm:t>
        <a:bodyPr/>
        <a:lstStyle/>
        <a:p>
          <a:r>
            <a:rPr lang="es-DO"/>
            <a:t>Approach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6"/>
          </dgm14:cNvPr>
        </a:ext>
      </dgm:extLst>
    </dgm:pt>
    <dgm:pt modelId="{2DC8BA04-8BD9-4CFB-A3C0-6CE9CB348541}" type="parTrans" cxnId="{2C42A841-08FE-499B-BA8E-08721CF9311A}">
      <dgm:prSet/>
      <dgm:spPr/>
      <dgm:t>
        <a:bodyPr/>
        <a:lstStyle/>
        <a:p>
          <a:endParaRPr lang="es-DO"/>
        </a:p>
      </dgm:t>
    </dgm:pt>
    <dgm:pt modelId="{83987FF8-CAC8-42AE-9EAA-401CFC327A4B}" type="sibTrans" cxnId="{2C42A841-08FE-499B-BA8E-08721CF9311A}">
      <dgm:prSet/>
      <dgm:spPr/>
      <dgm:t>
        <a:bodyPr/>
        <a:lstStyle/>
        <a:p>
          <a:endParaRPr lang="es-DO"/>
        </a:p>
      </dgm:t>
    </dgm:pt>
    <dgm:pt modelId="{B975E441-F169-4012-99D4-7F01A40D7F8D}">
      <dgm:prSet phldrT="[Text]"/>
      <dgm:spPr/>
      <dgm:t>
        <a:bodyPr/>
        <a:lstStyle/>
        <a:p>
          <a:r>
            <a:rPr lang="es-DO"/>
            <a:t>Alternatives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7"/>
          </dgm14:cNvPr>
        </a:ext>
      </dgm:extLst>
    </dgm:pt>
    <dgm:pt modelId="{AD569ADC-0167-4A21-A3F1-99419E68EAFA}" type="parTrans" cxnId="{55160AA4-BD08-42AC-8514-7E37D6C86926}">
      <dgm:prSet/>
      <dgm:spPr/>
      <dgm:t>
        <a:bodyPr/>
        <a:lstStyle/>
        <a:p>
          <a:endParaRPr lang="es-DO"/>
        </a:p>
      </dgm:t>
    </dgm:pt>
    <dgm:pt modelId="{0D709A9C-0C47-4CBD-80F8-5474FDF42755}" type="sibTrans" cxnId="{55160AA4-BD08-42AC-8514-7E37D6C86926}">
      <dgm:prSet/>
      <dgm:spPr/>
      <dgm:t>
        <a:bodyPr/>
        <a:lstStyle/>
        <a:p>
          <a:endParaRPr lang="es-DO"/>
        </a:p>
      </dgm:t>
    </dgm:pt>
    <dgm:pt modelId="{143BD36D-6671-445E-BB1E-0EE72A0807F5}">
      <dgm:prSet phldrT="[Text]"/>
      <dgm:spPr/>
      <dgm:t>
        <a:bodyPr/>
        <a:lstStyle/>
        <a:p>
          <a:r>
            <a:rPr lang="es-DO"/>
            <a:t>System Definition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8"/>
          </dgm14:cNvPr>
        </a:ext>
      </dgm:extLst>
    </dgm:pt>
    <dgm:pt modelId="{1EB83F05-BE78-4197-8347-ED23984B778E}" type="parTrans" cxnId="{93ABE1DC-281E-4610-80A5-61CF5E5F6CCB}">
      <dgm:prSet/>
      <dgm:spPr/>
      <dgm:t>
        <a:bodyPr/>
        <a:lstStyle/>
        <a:p>
          <a:endParaRPr lang="es-DO"/>
        </a:p>
      </dgm:t>
    </dgm:pt>
    <dgm:pt modelId="{D0A8C4C4-D35F-48E4-A0C0-8C5F0B321C88}" type="sibTrans" cxnId="{93ABE1DC-281E-4610-80A5-61CF5E5F6CCB}">
      <dgm:prSet/>
      <dgm:spPr/>
      <dgm:t>
        <a:bodyPr/>
        <a:lstStyle/>
        <a:p>
          <a:endParaRPr lang="es-DO"/>
        </a:p>
      </dgm:t>
    </dgm:pt>
    <dgm:pt modelId="{DA3A715B-B244-4F3D-A6DF-6F7C76C0BCEC}">
      <dgm:prSet phldrT="[Text]"/>
      <dgm:spPr/>
      <dgm:t>
        <a:bodyPr/>
        <a:lstStyle/>
        <a:p>
          <a:r>
            <a:rPr lang="es-DO"/>
            <a:t>Validation</a:t>
          </a:r>
        </a:p>
      </dgm:t>
      <dgm:extLst>
        <a:ext uri="{E40237B7-FDA0-4F09-8148-C483321AD2D9}">
          <dgm14:cNvPr xmlns:dgm14="http://schemas.microsoft.com/office/drawing/2010/diagram" id="0" name="">
            <a:hlinkClick xmlns:r="http://schemas.openxmlformats.org/officeDocument/2006/relationships" r:id="rId9"/>
          </dgm14:cNvPr>
        </a:ext>
      </dgm:extLst>
    </dgm:pt>
    <dgm:pt modelId="{CD771659-015C-4C74-9353-9B1A4482EDF6}" type="parTrans" cxnId="{8D4EED22-4577-4AE8-9279-32095085F67A}">
      <dgm:prSet/>
      <dgm:spPr/>
      <dgm:t>
        <a:bodyPr/>
        <a:lstStyle/>
        <a:p>
          <a:endParaRPr lang="es-DO"/>
        </a:p>
      </dgm:t>
    </dgm:pt>
    <dgm:pt modelId="{12ED77BC-DCFF-4DFF-AF89-51281E868575}" type="sibTrans" cxnId="{8D4EED22-4577-4AE8-9279-32095085F67A}">
      <dgm:prSet/>
      <dgm:spPr/>
      <dgm:t>
        <a:bodyPr/>
        <a:lstStyle/>
        <a:p>
          <a:endParaRPr lang="es-DO"/>
        </a:p>
      </dgm:t>
    </dgm:pt>
    <dgm:pt modelId="{0B9CFDC1-E2CE-4308-864B-65FE5FECDB5E}" type="pres">
      <dgm:prSet presAssocID="{FA1F761D-A2A0-4C1A-9EE8-59FBD31FBA23}" presName="Name0" presStyleCnt="0">
        <dgm:presLayoutVars>
          <dgm:resizeHandles/>
        </dgm:presLayoutVars>
      </dgm:prSet>
      <dgm:spPr/>
    </dgm:pt>
    <dgm:pt modelId="{315B5FAF-DB96-463A-BF66-32938069B10B}" type="pres">
      <dgm:prSet presAssocID="{10695635-7545-4E12-BF3D-06A56AC2741F}" presName="text" presStyleLbl="node1" presStyleIdx="0" presStyleCnt="9">
        <dgm:presLayoutVars>
          <dgm:bulletEnabled val="1"/>
        </dgm:presLayoutVars>
      </dgm:prSet>
      <dgm:spPr/>
    </dgm:pt>
    <dgm:pt modelId="{CB8C43C7-B7D8-49B9-83DB-38F7EDECFF04}" type="pres">
      <dgm:prSet presAssocID="{CE3734EF-AD2C-4BF6-B2B6-4A63C97860FA}" presName="space" presStyleCnt="0"/>
      <dgm:spPr/>
    </dgm:pt>
    <dgm:pt modelId="{8329CEFA-5A5A-4675-81CE-B3F97E32EE3E}" type="pres">
      <dgm:prSet presAssocID="{F7AC93BF-31E0-4FBE-96A5-7BF5657FDF6B}" presName="text" presStyleLbl="node1" presStyleIdx="1" presStyleCnt="9">
        <dgm:presLayoutVars>
          <dgm:bulletEnabled val="1"/>
        </dgm:presLayoutVars>
      </dgm:prSet>
      <dgm:spPr/>
    </dgm:pt>
    <dgm:pt modelId="{698D8112-BB5F-457D-BAA7-9D119B4B3725}" type="pres">
      <dgm:prSet presAssocID="{83987FF8-CAC8-42AE-9EAA-401CFC327A4B}" presName="space" presStyleCnt="0"/>
      <dgm:spPr/>
    </dgm:pt>
    <dgm:pt modelId="{E31E8011-F8B1-4DC7-BCF6-8ED9756FC2FA}" type="pres">
      <dgm:prSet presAssocID="{FB83677A-1ECB-4CDD-857A-233C817CFA5D}" presName="text" presStyleLbl="node1" presStyleIdx="2" presStyleCnt="9">
        <dgm:presLayoutVars>
          <dgm:bulletEnabled val="1"/>
        </dgm:presLayoutVars>
      </dgm:prSet>
      <dgm:spPr/>
    </dgm:pt>
    <dgm:pt modelId="{7FC269FC-FD64-4D46-B09F-28448AFBE8E0}" type="pres">
      <dgm:prSet presAssocID="{F04011D3-8D3C-4977-9445-6ACF41CB0A42}" presName="space" presStyleCnt="0"/>
      <dgm:spPr/>
    </dgm:pt>
    <dgm:pt modelId="{5604CE9B-6CC3-4702-9A43-4E52BB4182C1}" type="pres">
      <dgm:prSet presAssocID="{B975E441-F169-4012-99D4-7F01A40D7F8D}" presName="text" presStyleLbl="node1" presStyleIdx="3" presStyleCnt="9">
        <dgm:presLayoutVars>
          <dgm:bulletEnabled val="1"/>
        </dgm:presLayoutVars>
      </dgm:prSet>
      <dgm:spPr/>
    </dgm:pt>
    <dgm:pt modelId="{D7778857-BB9E-42EC-97E2-48FD51FF250D}" type="pres">
      <dgm:prSet presAssocID="{0D709A9C-0C47-4CBD-80F8-5474FDF42755}" presName="space" presStyleCnt="0"/>
      <dgm:spPr/>
    </dgm:pt>
    <dgm:pt modelId="{9EF0B900-3487-4B2A-9110-3004928C2FBB}" type="pres">
      <dgm:prSet presAssocID="{DB840677-10EB-45F8-8F89-83AC3F0AED5D}" presName="text" presStyleLbl="node1" presStyleIdx="4" presStyleCnt="9">
        <dgm:presLayoutVars>
          <dgm:bulletEnabled val="1"/>
        </dgm:presLayoutVars>
      </dgm:prSet>
      <dgm:spPr/>
    </dgm:pt>
    <dgm:pt modelId="{EA7D7EBE-976C-4C02-B40F-63F1FD595158}" type="pres">
      <dgm:prSet presAssocID="{9C36F56A-229E-4D8C-A75C-8F47C70A72B0}" presName="space" presStyleCnt="0"/>
      <dgm:spPr/>
    </dgm:pt>
    <dgm:pt modelId="{0264E5BD-9050-4729-88B4-CB07C572F1A9}" type="pres">
      <dgm:prSet presAssocID="{143BD36D-6671-445E-BB1E-0EE72A0807F5}" presName="text" presStyleLbl="node1" presStyleIdx="5" presStyleCnt="9">
        <dgm:presLayoutVars>
          <dgm:bulletEnabled val="1"/>
        </dgm:presLayoutVars>
      </dgm:prSet>
      <dgm:spPr/>
    </dgm:pt>
    <dgm:pt modelId="{97CCFD89-518D-4B3C-B2D9-8BFBDD07D0A6}" type="pres">
      <dgm:prSet presAssocID="{D0A8C4C4-D35F-48E4-A0C0-8C5F0B321C88}" presName="space" presStyleCnt="0"/>
      <dgm:spPr/>
    </dgm:pt>
    <dgm:pt modelId="{1AC11CF4-9753-4AE0-88EB-3C7C469FB76C}" type="pres">
      <dgm:prSet presAssocID="{DA3A715B-B244-4F3D-A6DF-6F7C76C0BCEC}" presName="text" presStyleLbl="node1" presStyleIdx="6" presStyleCnt="9">
        <dgm:presLayoutVars>
          <dgm:bulletEnabled val="1"/>
        </dgm:presLayoutVars>
      </dgm:prSet>
      <dgm:spPr/>
    </dgm:pt>
    <dgm:pt modelId="{8C9D2F9B-BCC1-4DE1-AE80-E35C6BE533B3}" type="pres">
      <dgm:prSet presAssocID="{12ED77BC-DCFF-4DFF-AF89-51281E868575}" presName="space" presStyleCnt="0"/>
      <dgm:spPr/>
    </dgm:pt>
    <dgm:pt modelId="{5DD734BD-E90B-4515-9611-6388C20F26AE}" type="pres">
      <dgm:prSet presAssocID="{6E06BD31-ED76-4C66-84BB-1CAE5DC18FFD}" presName="text" presStyleLbl="node1" presStyleIdx="7" presStyleCnt="9">
        <dgm:presLayoutVars>
          <dgm:bulletEnabled val="1"/>
        </dgm:presLayoutVars>
      </dgm:prSet>
      <dgm:spPr/>
    </dgm:pt>
    <dgm:pt modelId="{76DF01EA-A620-4778-8866-EB9707F918A1}" type="pres">
      <dgm:prSet presAssocID="{0899BA4D-DD09-42D7-89EA-4F27D1EF613E}" presName="space" presStyleCnt="0"/>
      <dgm:spPr/>
    </dgm:pt>
    <dgm:pt modelId="{4AF8CDE3-4203-4858-BA81-4333A0C6B021}" type="pres">
      <dgm:prSet presAssocID="{4596B36A-AF36-4617-A757-96197A1BAED2}" presName="text" presStyleLbl="node1" presStyleIdx="8" presStyleCnt="9">
        <dgm:presLayoutVars>
          <dgm:bulletEnabled val="1"/>
        </dgm:presLayoutVars>
      </dgm:prSet>
      <dgm:spPr/>
    </dgm:pt>
  </dgm:ptLst>
  <dgm:cxnLst>
    <dgm:cxn modelId="{D7004D09-841D-4890-BC49-1176F8DBB7A6}" srcId="{FA1F761D-A2A0-4C1A-9EE8-59FBD31FBA23}" destId="{DB840677-10EB-45F8-8F89-83AC3F0AED5D}" srcOrd="4" destOrd="0" parTransId="{B8EAD7AF-8A62-4E95-A774-1E5CB57FD8C1}" sibTransId="{9C36F56A-229E-4D8C-A75C-8F47C70A72B0}"/>
    <dgm:cxn modelId="{53FCE40C-7682-4541-9B2C-9C44D25BA48C}" srcId="{FA1F761D-A2A0-4C1A-9EE8-59FBD31FBA23}" destId="{4596B36A-AF36-4617-A757-96197A1BAED2}" srcOrd="8" destOrd="0" parTransId="{8610CAEC-5BF6-41EF-8EC0-A0EADA2BCBAD}" sibTransId="{A2071EA4-9B79-4701-B5AE-FC69AE373552}"/>
    <dgm:cxn modelId="{B9E05110-84A1-4B90-9BE0-91695EDF669A}" type="presOf" srcId="{4596B36A-AF36-4617-A757-96197A1BAED2}" destId="{4AF8CDE3-4203-4858-BA81-4333A0C6B021}" srcOrd="0" destOrd="0" presId="urn:diagrams.loki3.com/VaryingWidthList"/>
    <dgm:cxn modelId="{C97D8215-B618-4A48-9325-6515B96C22DE}" srcId="{FA1F761D-A2A0-4C1A-9EE8-59FBD31FBA23}" destId="{FB83677A-1ECB-4CDD-857A-233C817CFA5D}" srcOrd="2" destOrd="0" parTransId="{F559ACCE-EF5C-4FE1-91AD-2683F69443BA}" sibTransId="{F04011D3-8D3C-4977-9445-6ACF41CB0A42}"/>
    <dgm:cxn modelId="{8D4EED22-4577-4AE8-9279-32095085F67A}" srcId="{FA1F761D-A2A0-4C1A-9EE8-59FBD31FBA23}" destId="{DA3A715B-B244-4F3D-A6DF-6F7C76C0BCEC}" srcOrd="6" destOrd="0" parTransId="{CD771659-015C-4C74-9353-9B1A4482EDF6}" sibTransId="{12ED77BC-DCFF-4DFF-AF89-51281E868575}"/>
    <dgm:cxn modelId="{A2D8855F-7EFE-499C-8905-6C6F56FD4E56}" type="presOf" srcId="{FB83677A-1ECB-4CDD-857A-233C817CFA5D}" destId="{E31E8011-F8B1-4DC7-BCF6-8ED9756FC2FA}" srcOrd="0" destOrd="0" presId="urn:diagrams.loki3.com/VaryingWidthList"/>
    <dgm:cxn modelId="{B8066D61-A5CC-473B-AE9D-C7EB5D930A0B}" type="presOf" srcId="{10695635-7545-4E12-BF3D-06A56AC2741F}" destId="{315B5FAF-DB96-463A-BF66-32938069B10B}" srcOrd="0" destOrd="0" presId="urn:diagrams.loki3.com/VaryingWidthList"/>
    <dgm:cxn modelId="{2C42A841-08FE-499B-BA8E-08721CF9311A}" srcId="{FA1F761D-A2A0-4C1A-9EE8-59FBD31FBA23}" destId="{F7AC93BF-31E0-4FBE-96A5-7BF5657FDF6B}" srcOrd="1" destOrd="0" parTransId="{2DC8BA04-8BD9-4CFB-A3C0-6CE9CB348541}" sibTransId="{83987FF8-CAC8-42AE-9EAA-401CFC327A4B}"/>
    <dgm:cxn modelId="{2F54474B-64CF-44D3-B75B-841BCF6C051D}" type="presOf" srcId="{143BD36D-6671-445E-BB1E-0EE72A0807F5}" destId="{0264E5BD-9050-4729-88B4-CB07C572F1A9}" srcOrd="0" destOrd="0" presId="urn:diagrams.loki3.com/VaryingWidthList"/>
    <dgm:cxn modelId="{0229CE71-2805-460C-83EB-30933B9CE240}" type="presOf" srcId="{6E06BD31-ED76-4C66-84BB-1CAE5DC18FFD}" destId="{5DD734BD-E90B-4515-9611-6388C20F26AE}" srcOrd="0" destOrd="0" presId="urn:diagrams.loki3.com/VaryingWidthList"/>
    <dgm:cxn modelId="{C54F7073-055F-4A1B-804B-7386897DFA67}" srcId="{FA1F761D-A2A0-4C1A-9EE8-59FBD31FBA23}" destId="{10695635-7545-4E12-BF3D-06A56AC2741F}" srcOrd="0" destOrd="0" parTransId="{E27BD6D0-4A29-4702-8C56-39CD1D0250D2}" sibTransId="{CE3734EF-AD2C-4BF6-B2B6-4A63C97860FA}"/>
    <dgm:cxn modelId="{735B4D58-0112-4E9B-B879-6B820FAD2FE8}" type="presOf" srcId="{F7AC93BF-31E0-4FBE-96A5-7BF5657FDF6B}" destId="{8329CEFA-5A5A-4675-81CE-B3F97E32EE3E}" srcOrd="0" destOrd="0" presId="urn:diagrams.loki3.com/VaryingWidthList"/>
    <dgm:cxn modelId="{36E0E494-471C-4CE2-A5A8-A3076637A3E5}" type="presOf" srcId="{DB840677-10EB-45F8-8F89-83AC3F0AED5D}" destId="{9EF0B900-3487-4B2A-9110-3004928C2FBB}" srcOrd="0" destOrd="0" presId="urn:diagrams.loki3.com/VaryingWidthList"/>
    <dgm:cxn modelId="{4D33BAA3-1BD5-4B4C-BA14-9D12F20AD6D1}" type="presOf" srcId="{B975E441-F169-4012-99D4-7F01A40D7F8D}" destId="{5604CE9B-6CC3-4702-9A43-4E52BB4182C1}" srcOrd="0" destOrd="0" presId="urn:diagrams.loki3.com/VaryingWidthList"/>
    <dgm:cxn modelId="{55160AA4-BD08-42AC-8514-7E37D6C86926}" srcId="{FA1F761D-A2A0-4C1A-9EE8-59FBD31FBA23}" destId="{B975E441-F169-4012-99D4-7F01A40D7F8D}" srcOrd="3" destOrd="0" parTransId="{AD569ADC-0167-4A21-A3F1-99419E68EAFA}" sibTransId="{0D709A9C-0C47-4CBD-80F8-5474FDF42755}"/>
    <dgm:cxn modelId="{21B900B5-A43B-423C-9031-94C7E97EE719}" srcId="{FA1F761D-A2A0-4C1A-9EE8-59FBD31FBA23}" destId="{6E06BD31-ED76-4C66-84BB-1CAE5DC18FFD}" srcOrd="7" destOrd="0" parTransId="{C4329973-613A-4A47-95B2-FA1DF3237766}" sibTransId="{0899BA4D-DD09-42D7-89EA-4F27D1EF613E}"/>
    <dgm:cxn modelId="{93ABE1DC-281E-4610-80A5-61CF5E5F6CCB}" srcId="{FA1F761D-A2A0-4C1A-9EE8-59FBD31FBA23}" destId="{143BD36D-6671-445E-BB1E-0EE72A0807F5}" srcOrd="5" destOrd="0" parTransId="{1EB83F05-BE78-4197-8347-ED23984B778E}" sibTransId="{D0A8C4C4-D35F-48E4-A0C0-8C5F0B321C88}"/>
    <dgm:cxn modelId="{7A6836E7-325C-4EDF-85EE-884A63D567F7}" type="presOf" srcId="{DA3A715B-B244-4F3D-A6DF-6F7C76C0BCEC}" destId="{1AC11CF4-9753-4AE0-88EB-3C7C469FB76C}" srcOrd="0" destOrd="0" presId="urn:diagrams.loki3.com/VaryingWidthList"/>
    <dgm:cxn modelId="{6FE573F1-502F-47D9-AF41-58A3F2B3F492}" type="presOf" srcId="{FA1F761D-A2A0-4C1A-9EE8-59FBD31FBA23}" destId="{0B9CFDC1-E2CE-4308-864B-65FE5FECDB5E}" srcOrd="0" destOrd="0" presId="urn:diagrams.loki3.com/VaryingWidthList"/>
    <dgm:cxn modelId="{72BB8A5E-3B77-4023-9D06-1AD3E65A5656}" type="presParOf" srcId="{0B9CFDC1-E2CE-4308-864B-65FE5FECDB5E}" destId="{315B5FAF-DB96-463A-BF66-32938069B10B}" srcOrd="0" destOrd="0" presId="urn:diagrams.loki3.com/VaryingWidthList"/>
    <dgm:cxn modelId="{DC0E6BFC-60B7-47E1-8140-9365C9C0C0FC}" type="presParOf" srcId="{0B9CFDC1-E2CE-4308-864B-65FE5FECDB5E}" destId="{CB8C43C7-B7D8-49B9-83DB-38F7EDECFF04}" srcOrd="1" destOrd="0" presId="urn:diagrams.loki3.com/VaryingWidthList"/>
    <dgm:cxn modelId="{F6F66DFB-18C6-472D-9702-D01172C69ADD}" type="presParOf" srcId="{0B9CFDC1-E2CE-4308-864B-65FE5FECDB5E}" destId="{8329CEFA-5A5A-4675-81CE-B3F97E32EE3E}" srcOrd="2" destOrd="0" presId="urn:diagrams.loki3.com/VaryingWidthList"/>
    <dgm:cxn modelId="{5764CFA8-7721-4EB2-80DC-B86A4FD02815}" type="presParOf" srcId="{0B9CFDC1-E2CE-4308-864B-65FE5FECDB5E}" destId="{698D8112-BB5F-457D-BAA7-9D119B4B3725}" srcOrd="3" destOrd="0" presId="urn:diagrams.loki3.com/VaryingWidthList"/>
    <dgm:cxn modelId="{649DA13D-9644-4242-B422-B465CB9AA8AF}" type="presParOf" srcId="{0B9CFDC1-E2CE-4308-864B-65FE5FECDB5E}" destId="{E31E8011-F8B1-4DC7-BCF6-8ED9756FC2FA}" srcOrd="4" destOrd="0" presId="urn:diagrams.loki3.com/VaryingWidthList"/>
    <dgm:cxn modelId="{F17264EF-A5D8-4FE9-BD19-0102C0F3631E}" type="presParOf" srcId="{0B9CFDC1-E2CE-4308-864B-65FE5FECDB5E}" destId="{7FC269FC-FD64-4D46-B09F-28448AFBE8E0}" srcOrd="5" destOrd="0" presId="urn:diagrams.loki3.com/VaryingWidthList"/>
    <dgm:cxn modelId="{608E8CDC-3A09-4043-B525-7C66D8DE748C}" type="presParOf" srcId="{0B9CFDC1-E2CE-4308-864B-65FE5FECDB5E}" destId="{5604CE9B-6CC3-4702-9A43-4E52BB4182C1}" srcOrd="6" destOrd="0" presId="urn:diagrams.loki3.com/VaryingWidthList"/>
    <dgm:cxn modelId="{46E39164-6EB2-4D98-9321-9D5AFA0D4B76}" type="presParOf" srcId="{0B9CFDC1-E2CE-4308-864B-65FE5FECDB5E}" destId="{D7778857-BB9E-42EC-97E2-48FD51FF250D}" srcOrd="7" destOrd="0" presId="urn:diagrams.loki3.com/VaryingWidthList"/>
    <dgm:cxn modelId="{307D0654-59EC-4D7D-9DDB-78F9FB4B2254}" type="presParOf" srcId="{0B9CFDC1-E2CE-4308-864B-65FE5FECDB5E}" destId="{9EF0B900-3487-4B2A-9110-3004928C2FBB}" srcOrd="8" destOrd="0" presId="urn:diagrams.loki3.com/VaryingWidthList"/>
    <dgm:cxn modelId="{785742A9-439E-410F-A996-7EF0EED00BCF}" type="presParOf" srcId="{0B9CFDC1-E2CE-4308-864B-65FE5FECDB5E}" destId="{EA7D7EBE-976C-4C02-B40F-63F1FD595158}" srcOrd="9" destOrd="0" presId="urn:diagrams.loki3.com/VaryingWidthList"/>
    <dgm:cxn modelId="{D55E681B-8D0C-4367-BDFE-D3B617A97DDD}" type="presParOf" srcId="{0B9CFDC1-E2CE-4308-864B-65FE5FECDB5E}" destId="{0264E5BD-9050-4729-88B4-CB07C572F1A9}" srcOrd="10" destOrd="0" presId="urn:diagrams.loki3.com/VaryingWidthList"/>
    <dgm:cxn modelId="{3AC81460-1339-4912-B5E7-41FDCD2A79C4}" type="presParOf" srcId="{0B9CFDC1-E2CE-4308-864B-65FE5FECDB5E}" destId="{97CCFD89-518D-4B3C-B2D9-8BFBDD07D0A6}" srcOrd="11" destOrd="0" presId="urn:diagrams.loki3.com/VaryingWidthList"/>
    <dgm:cxn modelId="{D18BBE56-D0BF-4309-A975-DDFB818D9A8D}" type="presParOf" srcId="{0B9CFDC1-E2CE-4308-864B-65FE5FECDB5E}" destId="{1AC11CF4-9753-4AE0-88EB-3C7C469FB76C}" srcOrd="12" destOrd="0" presId="urn:diagrams.loki3.com/VaryingWidthList"/>
    <dgm:cxn modelId="{90B40320-449D-4F51-AE11-1FA61A32D553}" type="presParOf" srcId="{0B9CFDC1-E2CE-4308-864B-65FE5FECDB5E}" destId="{8C9D2F9B-BCC1-4DE1-AE80-E35C6BE533B3}" srcOrd="13" destOrd="0" presId="urn:diagrams.loki3.com/VaryingWidthList"/>
    <dgm:cxn modelId="{06D7F876-7B3C-425C-A5DB-B2990C9CBFFB}" type="presParOf" srcId="{0B9CFDC1-E2CE-4308-864B-65FE5FECDB5E}" destId="{5DD734BD-E90B-4515-9611-6388C20F26AE}" srcOrd="14" destOrd="0" presId="urn:diagrams.loki3.com/VaryingWidthList"/>
    <dgm:cxn modelId="{7DAF1DC8-F277-4592-949E-166DA58E3379}" type="presParOf" srcId="{0B9CFDC1-E2CE-4308-864B-65FE5FECDB5E}" destId="{76DF01EA-A620-4778-8866-EB9707F918A1}" srcOrd="15" destOrd="0" presId="urn:diagrams.loki3.com/VaryingWidthList"/>
    <dgm:cxn modelId="{285B9A3A-9EE6-43BF-B33B-B30DC06B6E99}" type="presParOf" srcId="{0B9CFDC1-E2CE-4308-864B-65FE5FECDB5E}" destId="{4AF8CDE3-4203-4858-BA81-4333A0C6B021}" srcOrd="16" destOrd="0" presId="urn:diagrams.loki3.com/VaryingWidthList"/>
  </dgm:cxnLst>
  <dgm:bg/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83333182-6A86-4C8E-A25B-37D8F12EABCD}">
      <dsp:nvSpPr>
        <dsp:cNvPr id="0" name=""/>
        <dsp:cNvSpPr/>
      </dsp:nvSpPr>
      <dsp:spPr>
        <a:xfrm>
          <a:off x="0" y="588705"/>
          <a:ext cx="8615011" cy="784940"/>
        </a:xfrm>
        <a:prstGeom prst="notchedRightArrow">
          <a:avLst/>
        </a:prstGeom>
        <a:solidFill>
          <a:schemeClr val="accent2">
            <a:lumMod val="40000"/>
            <a:lumOff val="6000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0E464BD0-9E93-45E9-A396-FC4861C035EE}">
      <dsp:nvSpPr>
        <dsp:cNvPr id="0" name=""/>
        <dsp:cNvSpPr/>
      </dsp:nvSpPr>
      <dsp:spPr>
        <a:xfrm>
          <a:off x="3407" y="0"/>
          <a:ext cx="1489749" cy="78494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78232" tIns="78232" rIns="78232" bIns="78232" numCol="1" spcCol="1270" anchor="b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100" kern="1200"/>
            <a:t>Planteamiento y Requerimientos</a:t>
          </a:r>
        </a:p>
      </dsp:txBody>
      <dsp:txXfrm>
        <a:off x="3407" y="0"/>
        <a:ext cx="1489749" cy="784940"/>
      </dsp:txXfrm>
    </dsp:sp>
    <dsp:sp modelId="{92C1B8BD-3164-43B7-908F-CB96F87E8DDB}">
      <dsp:nvSpPr>
        <dsp:cNvPr id="0" name=""/>
        <dsp:cNvSpPr/>
      </dsp:nvSpPr>
      <dsp:spPr>
        <a:xfrm>
          <a:off x="650164" y="883057"/>
          <a:ext cx="196235" cy="196235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1DCC3C92-DDDD-4E60-B243-D4D39F91FA2A}">
      <dsp:nvSpPr>
        <dsp:cNvPr id="0" name=""/>
        <dsp:cNvSpPr/>
      </dsp:nvSpPr>
      <dsp:spPr>
        <a:xfrm>
          <a:off x="1567643" y="1177410"/>
          <a:ext cx="1489749" cy="78494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78232" tIns="78232" rIns="78232" bIns="78232" numCol="1" spcCol="1270" anchor="t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100" kern="1200"/>
            <a:t>Hito 1: Problema y Necesidades de Diseño</a:t>
          </a:r>
        </a:p>
      </dsp:txBody>
      <dsp:txXfrm>
        <a:off x="1567643" y="1177410"/>
        <a:ext cx="1489749" cy="784940"/>
      </dsp:txXfrm>
    </dsp:sp>
    <dsp:sp modelId="{6FA7F4A1-8741-4624-A22B-81B500AB81EB}">
      <dsp:nvSpPr>
        <dsp:cNvPr id="0" name=""/>
        <dsp:cNvSpPr/>
      </dsp:nvSpPr>
      <dsp:spPr>
        <a:xfrm>
          <a:off x="2214400" y="883057"/>
          <a:ext cx="196235" cy="196235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C252AECE-13B4-492B-B4E3-F5C72BE6B9CE}">
      <dsp:nvSpPr>
        <dsp:cNvPr id="0" name=""/>
        <dsp:cNvSpPr/>
      </dsp:nvSpPr>
      <dsp:spPr>
        <a:xfrm>
          <a:off x="3131880" y="0"/>
          <a:ext cx="1489749" cy="78494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78232" tIns="78232" rIns="78232" bIns="78232" numCol="1" spcCol="1270" anchor="b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100" kern="1200"/>
            <a:t>Hito 2: Especificaciones de Diseño y Plan de Conceptualización</a:t>
          </a:r>
        </a:p>
      </dsp:txBody>
      <dsp:txXfrm>
        <a:off x="3131880" y="0"/>
        <a:ext cx="1489749" cy="784940"/>
      </dsp:txXfrm>
    </dsp:sp>
    <dsp:sp modelId="{1DF2075B-2D7B-4A8F-A3BB-75CA77DE7BDD}">
      <dsp:nvSpPr>
        <dsp:cNvPr id="0" name=""/>
        <dsp:cNvSpPr/>
      </dsp:nvSpPr>
      <dsp:spPr>
        <a:xfrm>
          <a:off x="3778637" y="883057"/>
          <a:ext cx="196235" cy="196235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73E1F965-F679-4D83-B7FD-C804B7F5F0C6}">
      <dsp:nvSpPr>
        <dsp:cNvPr id="0" name=""/>
        <dsp:cNvSpPr/>
      </dsp:nvSpPr>
      <dsp:spPr>
        <a:xfrm>
          <a:off x="4696116" y="1177410"/>
          <a:ext cx="1489749" cy="78494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78232" tIns="78232" rIns="78232" bIns="78232" numCol="1" spcCol="1270" anchor="t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100" kern="1200"/>
            <a:t>Hito 3: Selección de Concepto</a:t>
          </a:r>
        </a:p>
      </dsp:txBody>
      <dsp:txXfrm>
        <a:off x="4696116" y="1177410"/>
        <a:ext cx="1489749" cy="784940"/>
      </dsp:txXfrm>
    </dsp:sp>
    <dsp:sp modelId="{506D9E6D-52DC-480A-9175-506EC64F88C4}">
      <dsp:nvSpPr>
        <dsp:cNvPr id="0" name=""/>
        <dsp:cNvSpPr/>
      </dsp:nvSpPr>
      <dsp:spPr>
        <a:xfrm>
          <a:off x="5342873" y="883057"/>
          <a:ext cx="196235" cy="196235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  <dsp:sp modelId="{D94271B5-75FD-421C-8C47-827333B1B1D3}">
      <dsp:nvSpPr>
        <dsp:cNvPr id="0" name=""/>
        <dsp:cNvSpPr/>
      </dsp:nvSpPr>
      <dsp:spPr>
        <a:xfrm>
          <a:off x="6260353" y="0"/>
          <a:ext cx="1489749" cy="784940"/>
        </a:xfrm>
        <a:prstGeom prst="rect">
          <a:avLst/>
        </a:prstGeom>
        <a:noFill/>
        <a:ln>
          <a:noFill/>
        </a:ln>
        <a:effectLst/>
      </dsp:spPr>
      <dsp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78232" tIns="78232" rIns="78232" bIns="78232" numCol="1" spcCol="1270" anchor="b" anchorCtr="0">
          <a:noAutofit/>
        </a:bodyPr>
        <a:lstStyle/>
        <a:p>
          <a:pPr marL="0" lvl="0" indent="0" algn="ctr" defTabSz="4889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100" kern="1200"/>
            <a:t>Hito 4: Validación del Concepto y Plan de Implementación</a:t>
          </a:r>
        </a:p>
      </dsp:txBody>
      <dsp:txXfrm>
        <a:off x="6260353" y="0"/>
        <a:ext cx="1489749" cy="784940"/>
      </dsp:txXfrm>
    </dsp:sp>
    <dsp:sp modelId="{80391667-1F14-4757-BFAD-7A64E84F75A8}">
      <dsp:nvSpPr>
        <dsp:cNvPr id="0" name=""/>
        <dsp:cNvSpPr/>
      </dsp:nvSpPr>
      <dsp:spPr>
        <a:xfrm>
          <a:off x="6907110" y="883057"/>
          <a:ext cx="196235" cy="196235"/>
        </a:xfrm>
        <a:prstGeom prst="ellipse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973B3D41-01FB-4B65-90D1-79F312A8539A}">
      <dsp:nvSpPr>
        <dsp:cNvPr id="0" name=""/>
        <dsp:cNvSpPr/>
      </dsp:nvSpPr>
      <dsp:spPr>
        <a:xfrm>
          <a:off x="4887" y="1049045"/>
          <a:ext cx="2137048" cy="1282229"/>
        </a:xfrm>
        <a:prstGeom prst="roundRect">
          <a:avLst>
            <a:gd name="adj" fmla="val 10000"/>
          </a:avLst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600" b="0" i="0" u="none" kern="1200">
              <a:solidFill>
                <a:sysClr val="windowText" lastClr="000000"/>
              </a:solidFill>
            </a:rPr>
            <a:t>Misión</a:t>
          </a:r>
          <a:endParaRPr lang="es-DO" sz="1600" kern="120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 dirty="0">
              <a:solidFill>
                <a:sysClr val="windowText" lastClr="000000"/>
              </a:solidFill>
            </a:rPr>
            <a:t>Necesidades, Objetivos y Afectados</a:t>
          </a:r>
          <a:endParaRPr lang="es-DO" sz="1200" kern="1200" dirty="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kern="1200" dirty="0">
              <a:solidFill>
                <a:sysClr val="windowText" lastClr="000000"/>
              </a:solidFill>
            </a:rPr>
            <a:t>Requerimientos operativos y funcionales</a:t>
          </a:r>
        </a:p>
      </dsp:txBody>
      <dsp:txXfrm>
        <a:off x="42442" y="1086600"/>
        <a:ext cx="2061938" cy="1207119"/>
      </dsp:txXfrm>
    </dsp:sp>
    <dsp:sp modelId="{415835F0-9AB1-4C7E-9C9B-3A1B67807533}">
      <dsp:nvSpPr>
        <dsp:cNvPr id="0" name=""/>
        <dsp:cNvSpPr/>
      </dsp:nvSpPr>
      <dsp:spPr>
        <a:xfrm>
          <a:off x="2329996" y="1425165"/>
          <a:ext cx="453054" cy="529988"/>
        </a:xfrm>
        <a:prstGeom prst="rightArrow">
          <a:avLst>
            <a:gd name="adj1" fmla="val 60000"/>
            <a:gd name="adj2" fmla="val 50000"/>
          </a:avLst>
        </a:prstGeom>
        <a:solidFill>
          <a:schemeClr val="accent5"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DO" sz="1300" kern="1200">
            <a:solidFill>
              <a:sysClr val="windowText" lastClr="000000"/>
            </a:solidFill>
          </a:endParaRPr>
        </a:p>
      </dsp:txBody>
      <dsp:txXfrm>
        <a:off x="2329996" y="1531163"/>
        <a:ext cx="317138" cy="317992"/>
      </dsp:txXfrm>
    </dsp:sp>
    <dsp:sp modelId="{7E88A05C-BBBC-457A-A002-096EF3EB0026}">
      <dsp:nvSpPr>
        <dsp:cNvPr id="0" name=""/>
        <dsp:cNvSpPr/>
      </dsp:nvSpPr>
      <dsp:spPr>
        <a:xfrm>
          <a:off x="2996756" y="1049045"/>
          <a:ext cx="2137048" cy="1282229"/>
        </a:xfrm>
        <a:prstGeom prst="roundRect">
          <a:avLst>
            <a:gd name="adj" fmla="val 10000"/>
          </a:avLst>
        </a:prstGeom>
        <a:solidFill>
          <a:schemeClr val="accent5">
            <a:hueOff val="-1126424"/>
            <a:satOff val="-2903"/>
            <a:lumOff val="-196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600" b="0" i="0" u="none" kern="1200" dirty="0">
              <a:solidFill>
                <a:sysClr val="windowText" lastClr="000000"/>
              </a:solidFill>
            </a:rPr>
            <a:t>Requerimientos</a:t>
          </a:r>
          <a:endParaRPr lang="es-DO" sz="1600" kern="1200" dirty="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 dirty="0">
              <a:solidFill>
                <a:sysClr val="windowText" lastClr="000000"/>
              </a:solidFill>
            </a:rPr>
            <a:t>Requerimientos y Especificaciones</a:t>
          </a:r>
          <a:endParaRPr lang="es-DO" sz="1200" kern="1200" dirty="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>
              <a:solidFill>
                <a:sysClr val="windowText" lastClr="000000"/>
              </a:solidFill>
            </a:rPr>
            <a:t>Restricciones y Métricas</a:t>
          </a:r>
          <a:endParaRPr lang="es-DO" sz="1200" kern="1200" dirty="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>
              <a:solidFill>
                <a:sysClr val="windowText" lastClr="000000"/>
              </a:solidFill>
            </a:rPr>
            <a:t>Diagramas de Funciones</a:t>
          </a:r>
          <a:endParaRPr lang="es-DO" sz="1200" kern="1200">
            <a:solidFill>
              <a:sysClr val="windowText" lastClr="000000"/>
            </a:solidFill>
          </a:endParaRPr>
        </a:p>
      </dsp:txBody>
      <dsp:txXfrm>
        <a:off x="3034311" y="1086600"/>
        <a:ext cx="2061938" cy="1207119"/>
      </dsp:txXfrm>
    </dsp:sp>
    <dsp:sp modelId="{D1DCA45B-62B2-431A-85F7-9480DEC1D4FB}">
      <dsp:nvSpPr>
        <dsp:cNvPr id="0" name=""/>
        <dsp:cNvSpPr/>
      </dsp:nvSpPr>
      <dsp:spPr>
        <a:xfrm>
          <a:off x="5321865" y="1425165"/>
          <a:ext cx="453054" cy="529988"/>
        </a:xfrm>
        <a:prstGeom prst="rightArrow">
          <a:avLst>
            <a:gd name="adj1" fmla="val 60000"/>
            <a:gd name="adj2" fmla="val 50000"/>
          </a:avLst>
        </a:prstGeom>
        <a:solidFill>
          <a:schemeClr val="accent5">
            <a:hueOff val="-1351709"/>
            <a:satOff val="-3484"/>
            <a:lumOff val="-2353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DO" sz="1300" kern="1200">
            <a:solidFill>
              <a:sysClr val="windowText" lastClr="000000"/>
            </a:solidFill>
          </a:endParaRPr>
        </a:p>
      </dsp:txBody>
      <dsp:txXfrm>
        <a:off x="5321865" y="1531163"/>
        <a:ext cx="317138" cy="317992"/>
      </dsp:txXfrm>
    </dsp:sp>
    <dsp:sp modelId="{77A4B642-7E10-4EAC-B5DD-80FD111B1C45}">
      <dsp:nvSpPr>
        <dsp:cNvPr id="0" name=""/>
        <dsp:cNvSpPr/>
      </dsp:nvSpPr>
      <dsp:spPr>
        <a:xfrm>
          <a:off x="5988624" y="1049045"/>
          <a:ext cx="2137048" cy="1282229"/>
        </a:xfrm>
        <a:prstGeom prst="roundRect">
          <a:avLst>
            <a:gd name="adj" fmla="val 10000"/>
          </a:avLst>
        </a:prstGeom>
        <a:solidFill>
          <a:schemeClr val="accent5">
            <a:hueOff val="-2252848"/>
            <a:satOff val="-5806"/>
            <a:lumOff val="-3922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600" b="0" i="0" u="none" kern="1200" dirty="0">
              <a:solidFill>
                <a:sysClr val="windowText" lastClr="000000"/>
              </a:solidFill>
            </a:rPr>
            <a:t>Alternativas</a:t>
          </a:r>
          <a:endParaRPr lang="es-DO" sz="1600" kern="1200" dirty="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 dirty="0">
              <a:solidFill>
                <a:sysClr val="windowText" lastClr="000000"/>
              </a:solidFill>
            </a:rPr>
            <a:t>Propuestas</a:t>
          </a:r>
          <a:endParaRPr lang="es-DO" sz="1200" kern="1200" dirty="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>
              <a:solidFill>
                <a:sysClr val="windowText" lastClr="000000"/>
              </a:solidFill>
            </a:rPr>
            <a:t>Análisis y Evaluación</a:t>
          </a:r>
          <a:endParaRPr lang="es-DO" sz="1200" kern="1200">
            <a:solidFill>
              <a:sysClr val="windowText" lastClr="000000"/>
            </a:solidFill>
          </a:endParaRPr>
        </a:p>
      </dsp:txBody>
      <dsp:txXfrm>
        <a:off x="6026179" y="1086600"/>
        <a:ext cx="2061938" cy="1207119"/>
      </dsp:txXfrm>
    </dsp:sp>
    <dsp:sp modelId="{983B6711-B5AA-4CAD-A4F6-9918064257B8}">
      <dsp:nvSpPr>
        <dsp:cNvPr id="0" name=""/>
        <dsp:cNvSpPr/>
      </dsp:nvSpPr>
      <dsp:spPr>
        <a:xfrm>
          <a:off x="8313733" y="1425165"/>
          <a:ext cx="453054" cy="529988"/>
        </a:xfrm>
        <a:prstGeom prst="rightArrow">
          <a:avLst>
            <a:gd name="adj1" fmla="val 60000"/>
            <a:gd name="adj2" fmla="val 50000"/>
          </a:avLst>
        </a:prstGeom>
        <a:solidFill>
          <a:schemeClr val="accent5">
            <a:hueOff val="-2703417"/>
            <a:satOff val="-6968"/>
            <a:lumOff val="-4706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DO" sz="1300" kern="1200">
            <a:solidFill>
              <a:sysClr val="windowText" lastClr="000000"/>
            </a:solidFill>
          </a:endParaRPr>
        </a:p>
      </dsp:txBody>
      <dsp:txXfrm>
        <a:off x="8313733" y="1531163"/>
        <a:ext cx="317138" cy="317992"/>
      </dsp:txXfrm>
    </dsp:sp>
    <dsp:sp modelId="{0D5F221A-A95B-45EF-B814-89A710C47951}">
      <dsp:nvSpPr>
        <dsp:cNvPr id="0" name=""/>
        <dsp:cNvSpPr/>
      </dsp:nvSpPr>
      <dsp:spPr>
        <a:xfrm>
          <a:off x="8980492" y="1049045"/>
          <a:ext cx="2137048" cy="1282229"/>
        </a:xfrm>
        <a:prstGeom prst="roundRect">
          <a:avLst>
            <a:gd name="adj" fmla="val 10000"/>
          </a:avLst>
        </a:prstGeom>
        <a:solidFill>
          <a:schemeClr val="accent5">
            <a:hueOff val="-3379271"/>
            <a:satOff val="-8710"/>
            <a:lumOff val="-5883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600" b="0" i="0" u="none" kern="1200" dirty="0">
              <a:solidFill>
                <a:sysClr val="windowText" lastClr="000000"/>
              </a:solidFill>
            </a:rPr>
            <a:t>Selección</a:t>
          </a:r>
          <a:endParaRPr lang="es-DO" sz="1600" kern="1200" dirty="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>
              <a:solidFill>
                <a:sysClr val="windowText" lastClr="000000"/>
              </a:solidFill>
            </a:rPr>
            <a:t>Combinaciones</a:t>
          </a:r>
          <a:endParaRPr lang="es-DO" sz="1200" kern="1200" dirty="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>
              <a:solidFill>
                <a:sysClr val="windowText" lastClr="000000"/>
              </a:solidFill>
            </a:rPr>
            <a:t>Arquitectura</a:t>
          </a:r>
          <a:endParaRPr lang="es-DO" sz="1200" kern="120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>
              <a:solidFill>
                <a:sysClr val="windowText" lastClr="000000"/>
              </a:solidFill>
            </a:rPr>
            <a:t>Concepto</a:t>
          </a:r>
          <a:endParaRPr lang="es-DO" sz="1200" kern="1200">
            <a:solidFill>
              <a:sysClr val="windowText" lastClr="000000"/>
            </a:solidFill>
          </a:endParaRPr>
        </a:p>
      </dsp:txBody>
      <dsp:txXfrm>
        <a:off x="9018047" y="1086600"/>
        <a:ext cx="2061938" cy="1207119"/>
      </dsp:txXfrm>
    </dsp:sp>
    <dsp:sp modelId="{90C1D3D6-794B-4454-B1E7-2CF6D0393791}">
      <dsp:nvSpPr>
        <dsp:cNvPr id="0" name=""/>
        <dsp:cNvSpPr/>
      </dsp:nvSpPr>
      <dsp:spPr>
        <a:xfrm rot="5400000">
          <a:off x="9822489" y="2480867"/>
          <a:ext cx="453054" cy="529988"/>
        </a:xfrm>
        <a:prstGeom prst="rightArrow">
          <a:avLst>
            <a:gd name="adj1" fmla="val 60000"/>
            <a:gd name="adj2" fmla="val 50000"/>
          </a:avLst>
        </a:prstGeom>
        <a:solidFill>
          <a:schemeClr val="accent5">
            <a:hueOff val="-4055126"/>
            <a:satOff val="-10451"/>
            <a:lumOff val="-7059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DO" sz="1300" kern="1200">
            <a:solidFill>
              <a:sysClr val="windowText" lastClr="000000"/>
            </a:solidFill>
          </a:endParaRPr>
        </a:p>
      </dsp:txBody>
      <dsp:txXfrm rot="-5400000">
        <a:off x="9890020" y="2519334"/>
        <a:ext cx="317992" cy="317138"/>
      </dsp:txXfrm>
    </dsp:sp>
    <dsp:sp modelId="{5EBCB062-C4D3-44DB-BE20-1037BC7473D5}">
      <dsp:nvSpPr>
        <dsp:cNvPr id="0" name=""/>
        <dsp:cNvSpPr/>
      </dsp:nvSpPr>
      <dsp:spPr>
        <a:xfrm>
          <a:off x="8980492" y="3186093"/>
          <a:ext cx="2137048" cy="1282229"/>
        </a:xfrm>
        <a:prstGeom prst="roundRect">
          <a:avLst>
            <a:gd name="adj" fmla="val 10000"/>
          </a:avLst>
        </a:prstGeom>
        <a:solidFill>
          <a:schemeClr val="accent5">
            <a:hueOff val="-4505695"/>
            <a:satOff val="-11613"/>
            <a:lumOff val="-7843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600" b="0" i="0" u="none" kern="1200" dirty="0">
              <a:solidFill>
                <a:sysClr val="windowText" lastClr="000000"/>
              </a:solidFill>
            </a:rPr>
            <a:t>Definición del Sistema</a:t>
          </a:r>
          <a:endParaRPr lang="es-DO" sz="1600" kern="1200" dirty="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 dirty="0">
              <a:solidFill>
                <a:sysClr val="windowText" lastClr="000000"/>
              </a:solidFill>
            </a:rPr>
            <a:t>Diseño Detallado de Subsistemas</a:t>
          </a:r>
          <a:endParaRPr lang="es-DO" sz="1200" kern="1200" dirty="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 dirty="0">
              <a:solidFill>
                <a:sysClr val="windowText" lastClr="000000"/>
              </a:solidFill>
            </a:rPr>
            <a:t>Integración y Pruebas</a:t>
          </a:r>
          <a:endParaRPr lang="es-DO" sz="1200" kern="1200" dirty="0">
            <a:solidFill>
              <a:sysClr val="windowText" lastClr="000000"/>
            </a:solidFill>
          </a:endParaRPr>
        </a:p>
      </dsp:txBody>
      <dsp:txXfrm>
        <a:off x="9018047" y="3223648"/>
        <a:ext cx="2061938" cy="1207119"/>
      </dsp:txXfrm>
    </dsp:sp>
    <dsp:sp modelId="{5954DDF5-6A8E-468B-BFA4-02CA3002A49E}">
      <dsp:nvSpPr>
        <dsp:cNvPr id="0" name=""/>
        <dsp:cNvSpPr/>
      </dsp:nvSpPr>
      <dsp:spPr>
        <a:xfrm rot="10800000">
          <a:off x="8339377" y="3562214"/>
          <a:ext cx="453054" cy="529988"/>
        </a:xfrm>
        <a:prstGeom prst="rightArrow">
          <a:avLst>
            <a:gd name="adj1" fmla="val 60000"/>
            <a:gd name="adj2" fmla="val 50000"/>
          </a:avLst>
        </a:prstGeom>
        <a:solidFill>
          <a:schemeClr val="accent5">
            <a:hueOff val="-5406834"/>
            <a:satOff val="-13935"/>
            <a:lumOff val="-9412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DO" sz="1300" kern="1200">
            <a:solidFill>
              <a:sysClr val="windowText" lastClr="000000"/>
            </a:solidFill>
          </a:endParaRPr>
        </a:p>
      </dsp:txBody>
      <dsp:txXfrm rot="10800000">
        <a:off x="8475293" y="3668212"/>
        <a:ext cx="317138" cy="317992"/>
      </dsp:txXfrm>
    </dsp:sp>
    <dsp:sp modelId="{1120A2ED-B9A4-4FDE-A4E1-4EE00EF990C4}">
      <dsp:nvSpPr>
        <dsp:cNvPr id="0" name=""/>
        <dsp:cNvSpPr/>
      </dsp:nvSpPr>
      <dsp:spPr>
        <a:xfrm>
          <a:off x="5988624" y="3186093"/>
          <a:ext cx="2137048" cy="1282229"/>
        </a:xfrm>
        <a:prstGeom prst="roundRect">
          <a:avLst>
            <a:gd name="adj" fmla="val 10000"/>
          </a:avLst>
        </a:prstGeom>
        <a:solidFill>
          <a:schemeClr val="accent5">
            <a:hueOff val="-5632119"/>
            <a:satOff val="-14516"/>
            <a:lumOff val="-9804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600" b="0" i="0" u="none" kern="1200" dirty="0">
              <a:solidFill>
                <a:sysClr val="windowText" lastClr="000000"/>
              </a:solidFill>
            </a:rPr>
            <a:t>Diseño Preliminar</a:t>
          </a:r>
          <a:endParaRPr lang="es-DO" sz="1600" kern="1200" dirty="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 dirty="0">
              <a:solidFill>
                <a:sysClr val="windowText" lastClr="000000"/>
              </a:solidFill>
            </a:rPr>
            <a:t>Demo de Diseño</a:t>
          </a:r>
          <a:endParaRPr lang="es-DO" sz="1200" kern="1200" dirty="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 dirty="0">
              <a:solidFill>
                <a:sysClr val="windowText" lastClr="000000"/>
              </a:solidFill>
            </a:rPr>
            <a:t>Verificación </a:t>
          </a:r>
          <a:endParaRPr lang="es-DO" sz="1200" kern="1200" dirty="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 dirty="0">
              <a:solidFill>
                <a:sysClr val="windowText" lastClr="000000"/>
              </a:solidFill>
            </a:rPr>
            <a:t>Plan de Validación</a:t>
          </a:r>
          <a:endParaRPr lang="es-DO" sz="1200" kern="1200" dirty="0">
            <a:solidFill>
              <a:sysClr val="windowText" lastClr="000000"/>
            </a:solidFill>
          </a:endParaRPr>
        </a:p>
      </dsp:txBody>
      <dsp:txXfrm>
        <a:off x="6026179" y="3223648"/>
        <a:ext cx="2061938" cy="1207119"/>
      </dsp:txXfrm>
    </dsp:sp>
    <dsp:sp modelId="{5B32C2A7-B21E-49FE-803C-EE3080E39B37}">
      <dsp:nvSpPr>
        <dsp:cNvPr id="0" name=""/>
        <dsp:cNvSpPr/>
      </dsp:nvSpPr>
      <dsp:spPr>
        <a:xfrm rot="10800000">
          <a:off x="5347509" y="3562214"/>
          <a:ext cx="453054" cy="529988"/>
        </a:xfrm>
        <a:prstGeom prst="rightArrow">
          <a:avLst>
            <a:gd name="adj1" fmla="val 60000"/>
            <a:gd name="adj2" fmla="val 50000"/>
          </a:avLst>
        </a:prstGeom>
        <a:solidFill>
          <a:schemeClr val="accent5">
            <a:hueOff val="-6758543"/>
            <a:satOff val="-17419"/>
            <a:lumOff val="-11765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0" tIns="0" rIns="0" bIns="0" numCol="1" spcCol="1270" anchor="ctr" anchorCtr="0">
          <a:noAutofit/>
        </a:bodyPr>
        <a:lstStyle/>
        <a:p>
          <a:pPr marL="0" lvl="0" indent="0" algn="ctr" defTabSz="5778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DO" sz="1300" kern="1200">
            <a:solidFill>
              <a:sysClr val="windowText" lastClr="000000"/>
            </a:solidFill>
          </a:endParaRPr>
        </a:p>
      </dsp:txBody>
      <dsp:txXfrm rot="10800000">
        <a:off x="5483425" y="3668212"/>
        <a:ext cx="317138" cy="317992"/>
      </dsp:txXfrm>
    </dsp:sp>
    <dsp:sp modelId="{990BE5E3-FA21-4DC1-A5A4-969E9F950332}">
      <dsp:nvSpPr>
        <dsp:cNvPr id="0" name=""/>
        <dsp:cNvSpPr/>
      </dsp:nvSpPr>
      <dsp:spPr>
        <a:xfrm>
          <a:off x="2996756" y="3186093"/>
          <a:ext cx="2137048" cy="1282229"/>
        </a:xfrm>
        <a:prstGeom prst="roundRect">
          <a:avLst>
            <a:gd name="adj" fmla="val 10000"/>
          </a:avLst>
        </a:prstGeom>
        <a:solidFill>
          <a:schemeClr val="accent5">
            <a:hueOff val="-6758543"/>
            <a:satOff val="-17419"/>
            <a:lumOff val="-11765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600" b="0" i="0" u="none" kern="1200" dirty="0">
              <a:solidFill>
                <a:sysClr val="windowText" lastClr="000000"/>
              </a:solidFill>
            </a:rPr>
            <a:t>Planificación</a:t>
          </a:r>
          <a:endParaRPr lang="es-DO" sz="1600" kern="1200" dirty="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>
              <a:solidFill>
                <a:sysClr val="windowText" lastClr="000000"/>
              </a:solidFill>
            </a:rPr>
            <a:t>Análisis y Manejo de Riesgos y </a:t>
          </a:r>
          <a:r>
            <a:rPr lang="es-DO" sz="1200" kern="1200" dirty="0">
              <a:solidFill>
                <a:sysClr val="windowText" lastClr="000000"/>
              </a:solidFill>
            </a:rPr>
            <a:t>Recursos</a:t>
          </a: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>
              <a:solidFill>
                <a:sysClr val="windowText" lastClr="000000"/>
              </a:solidFill>
            </a:rPr>
            <a:t>Comunicación del Equipo</a:t>
          </a:r>
          <a:endParaRPr lang="es-DO" sz="1200" kern="1200" dirty="0">
            <a:solidFill>
              <a:sysClr val="windowText" lastClr="000000"/>
            </a:solidFill>
          </a:endParaRPr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es-DO" sz="1200" b="0" i="0" u="none" kern="1200">
              <a:solidFill>
                <a:sysClr val="windowText" lastClr="000000"/>
              </a:solidFill>
            </a:rPr>
            <a:t>WBS, Diagrama de Gantt</a:t>
          </a:r>
          <a:endParaRPr lang="es-DO" sz="1200" kern="1200" dirty="0">
            <a:solidFill>
              <a:sysClr val="windowText" lastClr="000000"/>
            </a:solidFill>
          </a:endParaRPr>
        </a:p>
      </dsp:txBody>
      <dsp:txXfrm>
        <a:off x="3034311" y="3223648"/>
        <a:ext cx="2061938" cy="1207119"/>
      </dsp:txXfrm>
    </dsp:sp>
  </dsp:spTree>
</dsp:drawing>
</file>

<file path=xl/diagrams/drawing3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15B5FAF-DB96-463A-BF66-32938069B10B}">
      <dsp:nvSpPr>
        <dsp:cNvPr id="0" name=""/>
        <dsp:cNvSpPr/>
      </dsp:nvSpPr>
      <dsp:spPr>
        <a:xfrm>
          <a:off x="367710" y="3562"/>
          <a:ext cx="720000" cy="1348954"/>
        </a:xfrm>
        <a:prstGeom prst="rect">
          <a:avLst/>
        </a:prstGeom>
        <a:solidFill>
          <a:schemeClr val="accent5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800" kern="1200"/>
            <a:t>Index</a:t>
          </a:r>
        </a:p>
      </dsp:txBody>
      <dsp:txXfrm>
        <a:off x="367710" y="3562"/>
        <a:ext cx="720000" cy="1348954"/>
      </dsp:txXfrm>
    </dsp:sp>
    <dsp:sp modelId="{8329CEFA-5A5A-4675-81CE-B3F97E32EE3E}">
      <dsp:nvSpPr>
        <dsp:cNvPr id="0" name=""/>
        <dsp:cNvSpPr/>
      </dsp:nvSpPr>
      <dsp:spPr>
        <a:xfrm>
          <a:off x="232710" y="1419964"/>
          <a:ext cx="990000" cy="1348954"/>
        </a:xfrm>
        <a:prstGeom prst="rect">
          <a:avLst/>
        </a:prstGeom>
        <a:solidFill>
          <a:schemeClr val="accent5">
            <a:hueOff val="-844818"/>
            <a:satOff val="-2177"/>
            <a:lumOff val="-147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800" kern="1200"/>
            <a:t>Approach</a:t>
          </a:r>
        </a:p>
      </dsp:txBody>
      <dsp:txXfrm>
        <a:off x="232710" y="1419964"/>
        <a:ext cx="990000" cy="1348954"/>
      </dsp:txXfrm>
    </dsp:sp>
    <dsp:sp modelId="{E31E8011-F8B1-4DC7-BCF6-8ED9756FC2FA}">
      <dsp:nvSpPr>
        <dsp:cNvPr id="0" name=""/>
        <dsp:cNvSpPr/>
      </dsp:nvSpPr>
      <dsp:spPr>
        <a:xfrm>
          <a:off x="30210" y="2836367"/>
          <a:ext cx="1395000" cy="1348954"/>
        </a:xfrm>
        <a:prstGeom prst="rect">
          <a:avLst/>
        </a:prstGeom>
        <a:solidFill>
          <a:schemeClr val="accent5">
            <a:hueOff val="-1689636"/>
            <a:satOff val="-4355"/>
            <a:lumOff val="-2941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800" kern="1200"/>
            <a:t>Requirements</a:t>
          </a:r>
        </a:p>
      </dsp:txBody>
      <dsp:txXfrm>
        <a:off x="30210" y="2836367"/>
        <a:ext cx="1395000" cy="1348954"/>
      </dsp:txXfrm>
    </dsp:sp>
    <dsp:sp modelId="{5604CE9B-6CC3-4702-9A43-4E52BB4182C1}">
      <dsp:nvSpPr>
        <dsp:cNvPr id="0" name=""/>
        <dsp:cNvSpPr/>
      </dsp:nvSpPr>
      <dsp:spPr>
        <a:xfrm>
          <a:off x="120210" y="4252769"/>
          <a:ext cx="1215000" cy="1348954"/>
        </a:xfrm>
        <a:prstGeom prst="rect">
          <a:avLst/>
        </a:prstGeom>
        <a:solidFill>
          <a:schemeClr val="accent5">
            <a:hueOff val="-2534453"/>
            <a:satOff val="-6532"/>
            <a:lumOff val="-4412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800" kern="1200"/>
            <a:t>Alternatives</a:t>
          </a:r>
        </a:p>
      </dsp:txBody>
      <dsp:txXfrm>
        <a:off x="120210" y="4252769"/>
        <a:ext cx="1215000" cy="1348954"/>
      </dsp:txXfrm>
    </dsp:sp>
    <dsp:sp modelId="{9EF0B900-3487-4B2A-9110-3004928C2FBB}">
      <dsp:nvSpPr>
        <dsp:cNvPr id="0" name=""/>
        <dsp:cNvSpPr/>
      </dsp:nvSpPr>
      <dsp:spPr>
        <a:xfrm>
          <a:off x="255210" y="5669172"/>
          <a:ext cx="945000" cy="1348954"/>
        </a:xfrm>
        <a:prstGeom prst="rect">
          <a:avLst/>
        </a:prstGeom>
        <a:solidFill>
          <a:schemeClr val="accent5">
            <a:hueOff val="-3379271"/>
            <a:satOff val="-8710"/>
            <a:lumOff val="-5883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800" kern="1200"/>
            <a:t>Selection</a:t>
          </a:r>
        </a:p>
      </dsp:txBody>
      <dsp:txXfrm>
        <a:off x="255210" y="5669172"/>
        <a:ext cx="945000" cy="1348954"/>
      </dsp:txXfrm>
    </dsp:sp>
    <dsp:sp modelId="{0264E5BD-9050-4729-88B4-CB07C572F1A9}">
      <dsp:nvSpPr>
        <dsp:cNvPr id="0" name=""/>
        <dsp:cNvSpPr/>
      </dsp:nvSpPr>
      <dsp:spPr>
        <a:xfrm>
          <a:off x="221460" y="7085575"/>
          <a:ext cx="1012500" cy="1348954"/>
        </a:xfrm>
        <a:prstGeom prst="rect">
          <a:avLst/>
        </a:prstGeom>
        <a:solidFill>
          <a:schemeClr val="accent5">
            <a:hueOff val="-4224089"/>
            <a:satOff val="-10887"/>
            <a:lumOff val="-7353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800" kern="1200"/>
            <a:t>System Definition</a:t>
          </a:r>
        </a:p>
      </dsp:txBody>
      <dsp:txXfrm>
        <a:off x="221460" y="7085575"/>
        <a:ext cx="1012500" cy="1348954"/>
      </dsp:txXfrm>
    </dsp:sp>
    <dsp:sp modelId="{1AC11CF4-9753-4AE0-88EB-3C7C469FB76C}">
      <dsp:nvSpPr>
        <dsp:cNvPr id="0" name=""/>
        <dsp:cNvSpPr/>
      </dsp:nvSpPr>
      <dsp:spPr>
        <a:xfrm>
          <a:off x="210210" y="8501977"/>
          <a:ext cx="1035000" cy="1348954"/>
        </a:xfrm>
        <a:prstGeom prst="rect">
          <a:avLst/>
        </a:prstGeom>
        <a:solidFill>
          <a:schemeClr val="accent5">
            <a:hueOff val="-5068907"/>
            <a:satOff val="-13064"/>
            <a:lumOff val="-8824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800" kern="1200"/>
            <a:t>Validation</a:t>
          </a:r>
        </a:p>
      </dsp:txBody>
      <dsp:txXfrm>
        <a:off x="210210" y="8501977"/>
        <a:ext cx="1035000" cy="1348954"/>
      </dsp:txXfrm>
    </dsp:sp>
    <dsp:sp modelId="{5DD734BD-E90B-4515-9611-6388C20F26AE}">
      <dsp:nvSpPr>
        <dsp:cNvPr id="0" name=""/>
        <dsp:cNvSpPr/>
      </dsp:nvSpPr>
      <dsp:spPr>
        <a:xfrm>
          <a:off x="97710" y="9918380"/>
          <a:ext cx="1260000" cy="1348954"/>
        </a:xfrm>
        <a:prstGeom prst="rect">
          <a:avLst/>
        </a:prstGeom>
        <a:solidFill>
          <a:schemeClr val="accent5">
            <a:hueOff val="-5913725"/>
            <a:satOff val="-15242"/>
            <a:lumOff val="-10294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800" kern="1200"/>
            <a:t>Planification</a:t>
          </a:r>
        </a:p>
      </dsp:txBody>
      <dsp:txXfrm>
        <a:off x="97710" y="9918380"/>
        <a:ext cx="1260000" cy="1348954"/>
      </dsp:txXfrm>
    </dsp:sp>
    <dsp:sp modelId="{4AF8CDE3-4203-4858-BA81-4333A0C6B021}">
      <dsp:nvSpPr>
        <dsp:cNvPr id="0" name=""/>
        <dsp:cNvSpPr/>
      </dsp:nvSpPr>
      <dsp:spPr>
        <a:xfrm>
          <a:off x="356460" y="11334783"/>
          <a:ext cx="742500" cy="1348954"/>
        </a:xfrm>
        <a:prstGeom prst="rect">
          <a:avLst/>
        </a:prstGeom>
        <a:solidFill>
          <a:schemeClr val="accent5">
            <a:hueOff val="-6758543"/>
            <a:satOff val="-17419"/>
            <a:lumOff val="-11765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45720" tIns="45720" rIns="45720" bIns="45720" numCol="1" spcCol="1270" anchor="ctr" anchorCtr="0">
          <a:noAutofit/>
        </a:bodyPr>
        <a:lstStyle/>
        <a:p>
          <a:pPr marL="0" lvl="0" indent="0" algn="ctr" defTabSz="8001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DO" sz="1800" kern="1200"/>
            <a:t>Critical Design</a:t>
          </a:r>
        </a:p>
      </dsp:txBody>
      <dsp:txXfrm>
        <a:off x="356460" y="11334783"/>
        <a:ext cx="742500" cy="134895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11">
  <dgm:title val=""/>
  <dgm:desc val=""/>
  <dgm:catLst>
    <dgm:cat type="process" pri="8000"/>
    <dgm:cat type="convert" pri="14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Name0">
    <dgm:varLst>
      <dgm:dir/>
      <dgm:resizeHandles val="exact"/>
    </dgm:varLst>
    <dgm:alg type="composite"/>
    <dgm:shape xmlns:r="http://schemas.openxmlformats.org/officeDocument/2006/relationships" r:blip="">
      <dgm:adjLst/>
    </dgm:shape>
    <dgm:presOf/>
    <dgm:choose name="Name1">
      <dgm:if name="Name2" func="var" arg="dir" op="equ" val="norm">
        <dgm:constrLst>
          <dgm:constr type="w" for="ch" forName="arrow" refType="w"/>
          <dgm:constr type="h" for="ch" forName="arrow" refType="h" fact="0.4"/>
          <dgm:constr type="ctrY" for="ch" forName="arrow" refType="h" fact="0.5"/>
          <dgm:constr type="l" for="ch" forName="arrow"/>
          <dgm:constr type="w" for="ch" forName="points" refType="w" fact="0.9"/>
          <dgm:constr type="h" for="ch" forName="points" refType="h"/>
          <dgm:constr type="t" for="ch" forName="points"/>
          <dgm:constr type="l" for="ch" forName="points"/>
        </dgm:constrLst>
      </dgm:if>
      <dgm:else name="Name3">
        <dgm:constrLst>
          <dgm:constr type="w" for="ch" forName="arrow" refType="w"/>
          <dgm:constr type="h" for="ch" forName="arrow" refType="h" fact="0.4"/>
          <dgm:constr type="ctrY" for="ch" forName="arrow" refType="h" fact="0.5"/>
          <dgm:constr type="r" for="ch" forName="arrow" refType="w"/>
          <dgm:constr type="w" for="ch" forName="points" refType="w" fact="0.9"/>
          <dgm:constr type="h" for="ch" forName="points" refType="h"/>
          <dgm:constr type="t" for="ch" forName="points"/>
          <dgm:constr type="r" for="ch" forName="points" refType="w"/>
        </dgm:constrLst>
      </dgm:else>
    </dgm:choose>
    <dgm:ruleLst/>
    <dgm:layoutNode name="arrow" styleLbl="bgShp">
      <dgm:alg type="sp"/>
      <dgm:choose name="Name4">
        <dgm:if name="Name5" func="var" arg="dir" op="equ" val="norm">
          <dgm:shape xmlns:r="http://schemas.openxmlformats.org/officeDocument/2006/relationships" type="notchedRightArrow" r:blip="">
            <dgm:adjLst/>
          </dgm:shape>
        </dgm:if>
        <dgm:else name="Name6">
          <dgm:shape xmlns:r="http://schemas.openxmlformats.org/officeDocument/2006/relationships" rot="180" type="notchedRightArrow" r:blip="">
            <dgm:adjLst/>
          </dgm:shape>
        </dgm:else>
      </dgm:choose>
      <dgm:presOf/>
      <dgm:constrLst/>
      <dgm:ruleLst/>
    </dgm:layoutNode>
    <dgm:layoutNode name="points">
      <dgm:choose name="Name7">
        <dgm:if name="Name8" func="var" arg="dir" op="equ" val="norm">
          <dgm:alg type="lin">
            <dgm:param type="linDir" val="fromL"/>
          </dgm:alg>
        </dgm:if>
        <dgm:else name="Name9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w" for="ch" forName="compositeA" refType="w"/>
        <dgm:constr type="h" for="ch" forName="compositeA" refType="h"/>
        <dgm:constr type="w" for="ch" forName="compositeB" refType="w" refFor="ch" refForName="compositeA" op="equ"/>
        <dgm:constr type="h" for="ch" forName="compositeB" refType="h" refFor="ch" refForName="compositeA" op="equ"/>
        <dgm:constr type="primFontSz" for="des" ptType="node" op="equ" val="65"/>
        <dgm:constr type="w" for="ch" forName="space" refType="w" refFor="ch" refForName="compositeA" op="equ" fact="0.05"/>
      </dgm:constrLst>
      <dgm:ruleLst/>
      <dgm:forEach name="Name10" axis="ch" ptType="node">
        <dgm:choose name="Name11">
          <dgm:if name="Name12" axis="self" ptType="node" func="posOdd" op="equ" val="1">
            <dgm:layoutNode name="compositeA">
              <dgm:alg type="composite"/>
              <dgm:shape xmlns:r="http://schemas.openxmlformats.org/officeDocument/2006/relationships" r:blip="">
                <dgm:adjLst/>
              </dgm:shape>
              <dgm:presOf/>
              <dgm:constrLst>
                <dgm:constr type="w" for="ch" forName="textA" refType="w"/>
                <dgm:constr type="h" for="ch" forName="textA" refType="h" fact="0.4"/>
                <dgm:constr type="t" for="ch" forName="textA"/>
                <dgm:constr type="l" for="ch" forName="textA"/>
                <dgm:constr type="h" for="ch" forName="circleA" refType="h" fact="0.1"/>
                <dgm:constr type="h" for="ch" forName="circleA" refType="w" op="lte"/>
                <dgm:constr type="w" for="ch" forName="circleA" refType="h" refFor="ch" refForName="circleA" op="equ"/>
                <dgm:constr type="ctrY" for="ch" forName="circleA" refType="h" fact="0.5"/>
                <dgm:constr type="ctrX" for="ch" forName="circleA" refType="w" refFor="ch" refForName="textA" fact="0.5"/>
                <dgm:constr type="w" for="ch" forName="spaceA" refType="w"/>
                <dgm:constr type="h" for="ch" forName="spaceA" refType="h" fact="0.4"/>
                <dgm:constr type="b" for="ch" forName="spaceA" refType="h"/>
                <dgm:constr type="l" for="ch" forName="spaceA"/>
              </dgm:constrLst>
              <dgm:ruleLst/>
              <dgm:layoutNode name="textA" styleLbl="revTx">
                <dgm:varLst>
                  <dgm:bulletEnabled val="1"/>
                </dgm:varLst>
                <dgm:alg type="tx">
                  <dgm:param type="txAnchorVert" val="b"/>
                  <dgm:param type="txAnchorVertCh" val="b"/>
                  <dgm:param type="txAnchorHorzCh" val="ctr"/>
                </dgm:alg>
                <dgm:shape xmlns:r="http://schemas.openxmlformats.org/officeDocument/2006/relationships" type="rect" r:blip="">
                  <dgm:adjLst/>
                </dgm:shape>
                <dgm:presOf axis="desOrSelf" ptType="node"/>
                <dgm:constrLst/>
                <dgm:ruleLst>
                  <dgm:rule type="primFontSz" val="5" fact="NaN" max="NaN"/>
                </dgm:ruleLst>
              </dgm:layoutNode>
              <dgm:layoutNode name="circleA">
                <dgm:alg type="sp"/>
                <dgm:shape xmlns:r="http://schemas.openxmlformats.org/officeDocument/2006/relationships" type="ellipse" r:blip="">
                  <dgm:adjLst/>
                </dgm:shape>
                <dgm:presOf/>
                <dgm:constrLst/>
                <dgm:ruleLst/>
              </dgm:layoutNode>
              <dgm:layoutNode name="spaceA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if>
          <dgm:else name="Name13">
            <dgm:layoutNode name="compositeB">
              <dgm:alg type="composite"/>
              <dgm:shape xmlns:r="http://schemas.openxmlformats.org/officeDocument/2006/relationships" r:blip="">
                <dgm:adjLst/>
              </dgm:shape>
              <dgm:presOf/>
              <dgm:constrLst>
                <dgm:constr type="w" for="ch" forName="textB" refType="w"/>
                <dgm:constr type="h" for="ch" forName="textB" refType="h" fact="0.4"/>
                <dgm:constr type="b" for="ch" forName="textB" refType="h"/>
                <dgm:constr type="l" for="ch" forName="textB"/>
                <dgm:constr type="h" for="ch" forName="circleB" refType="h" fact="0.1"/>
                <dgm:constr type="w" for="ch" forName="circleB" refType="h" refFor="ch" refForName="circleB" op="equ"/>
                <dgm:constr type="h" for="ch" forName="circleB" refType="w" op="lte"/>
                <dgm:constr type="ctrY" for="ch" forName="circleB" refType="h" fact="0.5"/>
                <dgm:constr type="ctrX" for="ch" forName="circleB" refType="w" refFor="ch" refForName="textB" fact="0.5"/>
                <dgm:constr type="w" for="ch" forName="spaceB" refType="w"/>
                <dgm:constr type="h" for="ch" forName="spaceB" refType="h" fact="0.4"/>
                <dgm:constr type="t" for="ch" forName="spaceB"/>
                <dgm:constr type="l" for="ch" forName="spaceB"/>
              </dgm:constrLst>
              <dgm:ruleLst/>
              <dgm:layoutNode name="textB" styleLbl="revTx">
                <dgm:varLst>
                  <dgm:bulletEnabled val="1"/>
                </dgm:varLst>
                <dgm:alg type="tx">
                  <dgm:param type="txAnchorVert" val="t"/>
                  <dgm:param type="txAnchorVertCh" val="t"/>
                  <dgm:param type="txAnchorHorzCh" val="ctr"/>
                </dgm:alg>
                <dgm:shape xmlns:r="http://schemas.openxmlformats.org/officeDocument/2006/relationships" type="rect" r:blip="">
                  <dgm:adjLst/>
                </dgm:shape>
                <dgm:presOf axis="desOrSelf" ptType="node"/>
                <dgm:constrLst/>
                <dgm:ruleLst>
                  <dgm:rule type="primFontSz" val="5" fact="NaN" max="NaN"/>
                </dgm:ruleLst>
              </dgm:layoutNode>
              <dgm:layoutNode name="circleB">
                <dgm:alg type="sp"/>
                <dgm:shape xmlns:r="http://schemas.openxmlformats.org/officeDocument/2006/relationships" type="ellipse" r:blip="">
                  <dgm:adjLst/>
                </dgm:shape>
                <dgm:presOf/>
                <dgm:constrLst/>
                <dgm:ruleLst/>
              </dgm:layoutNode>
              <dgm:layoutNode name="spaceB">
                <dgm:alg type="sp"/>
                <dgm:shape xmlns:r="http://schemas.openxmlformats.org/officeDocument/2006/relationships" r:blip="">
                  <dgm:adjLst/>
                </dgm:shape>
                <dgm:presOf/>
                <dgm:constrLst/>
                <dgm:ruleLst/>
              </dgm:layoutNode>
            </dgm:layoutNode>
          </dgm:else>
        </dgm:choose>
        <dgm:forEach name="Name14" axis="followSib" ptType="sibTrans" cnt="1">
          <dgm:layoutNode name="space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process5">
  <dgm:title val=""/>
  <dgm:desc val=""/>
  <dgm:catLst>
    <dgm:cat type="process" pri="17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  <dgm:cxn modelId="11" srcId="0" destId="5" srcOrd="4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diagram">
    <dgm:varLst>
      <dgm:dir/>
      <dgm:resizeHandles val="exact"/>
    </dgm:varLst>
    <dgm:choose name="Name0">
      <dgm:if name="Name1" axis="self" func="var" arg="dir" op="equ" val="norm">
        <dgm:alg type="snake">
          <dgm:param type="grDir" val="tL"/>
          <dgm:param type="flowDir" val="row"/>
          <dgm:param type="contDir" val="revDir"/>
          <dgm:param type="bkpt" val="endCnv"/>
        </dgm:alg>
      </dgm:if>
      <dgm:else name="Name2">
        <dgm:alg type="snake">
          <dgm:param type="grDir" val="tR"/>
          <dgm:param type="flowDir" val="row"/>
          <dgm:param type="contDir" val="revDir"/>
          <dgm:param type="bkpt" val="endCnv"/>
        </dgm:alg>
      </dgm:else>
    </dgm:choose>
    <dgm:shape xmlns:r="http://schemas.openxmlformats.org/officeDocument/2006/relationships" r:blip="">
      <dgm:adjLst/>
    </dgm:shape>
    <dgm:presOf/>
    <dgm:constrLst>
      <dgm:constr type="w" for="ch" ptType="node" refType="w"/>
      <dgm:constr type="w" for="ch" forName="sibTrans" refType="w" refFor="ch" refPtType="node" op="equ" fact="0.4"/>
      <dgm:constr type="sp" refType="w" refFor="ch" refForName="sibTrans" op="equ"/>
      <dgm:constr type="primFontSz" for="ch" ptType="node" op="equ" val="65"/>
      <dgm:constr type="primFontSz" for="des" forName="connectorText" op="equ" val="55"/>
      <dgm:constr type="primFontSz" for="des" forName="connectorText" refType="primFontSz" refFor="ch" refPtType="node" op="lte" fact="0.8"/>
    </dgm:constrLst>
    <dgm:ruleLst/>
    <dgm:forEach name="nodesForEach" axis="ch" ptType="node">
      <dgm:layoutNode name="node">
        <dgm:varLst>
          <dgm:bulletEnabled val="1"/>
        </dgm:varLst>
        <dgm:alg type="tx"/>
        <dgm:shape xmlns:r="http://schemas.openxmlformats.org/officeDocument/2006/relationships" type="roundRect" r:blip="">
          <dgm:adjLst>
            <dgm:adj idx="1" val="0.1"/>
          </dgm:adjLst>
        </dgm:shape>
        <dgm:presOf axis="desOrSelf" ptType="node"/>
        <dgm:constrLst>
          <dgm:constr type="h" refType="w" fact="0.6"/>
          <dgm:constr type="tMarg" refType="primFontSz" fact="0.3"/>
          <dgm:constr type="bMarg" refType="primFontSz" fact="0.3"/>
          <dgm:constr type="lMarg" refType="primFontSz" fact="0.3"/>
          <dgm:constr type="rMarg" refType="primFontSz" fact="0.3"/>
        </dgm:constrLst>
        <dgm:ruleLst>
          <dgm:rule type="primFontSz" val="5" fact="NaN" max="NaN"/>
        </dgm:ruleLst>
      </dgm:layoutNode>
      <dgm:forEach name="sibTransForEach" axis="followSib" ptType="sibTrans" cnt="1">
        <dgm:layoutNode name="sibTrans">
          <dgm:alg type="conn">
            <dgm:param type="begPts" val="auto"/>
            <dgm:param type="endPts" val="auto"/>
          </dgm:alg>
          <dgm:shape xmlns:r="http://schemas.openxmlformats.org/officeDocument/2006/relationships" type="conn" r:blip="">
            <dgm:adjLst/>
          </dgm:shape>
          <dgm:presOf axis="self"/>
          <dgm:constrLst>
            <dgm:constr type="h" refType="w" fact="0.62"/>
            <dgm:constr type="connDist"/>
          </dgm:constrLst>
          <dgm:ruleLst/>
          <dgm:layoutNode name="connectorText">
            <dgm:alg type="tx">
              <dgm:param type="autoTxRot" val="upr"/>
            </dgm:alg>
            <dgm:shape xmlns:r="http://schemas.openxmlformats.org/officeDocument/2006/relationships" type="conn" r:blip="" hideGeom="1">
              <dgm:adjLst/>
            </dgm:shape>
            <dgm:presOf axis="self"/>
            <dgm:constrLst>
              <dgm:constr type="lMarg"/>
              <dgm:constr type="rMarg"/>
              <dgm:constr type="tMarg"/>
              <dgm:constr type="bMarg"/>
            </dgm:constrLst>
            <dgm:ruleLst>
              <dgm:rule type="primFontSz" val="5" fact="NaN" max="NaN"/>
            </dgm:ruleLst>
          </dgm:layoutNode>
        </dgm:layoutNode>
      </dgm:forEach>
    </dgm:forEach>
  </dgm:layoutNode>
</dgm:layoutDef>
</file>

<file path=xl/diagrams/layout3.xml><?xml version="1.0" encoding="utf-8"?>
<dgm:layoutDef xmlns:dgm="http://schemas.openxmlformats.org/drawingml/2006/diagram" xmlns:a="http://schemas.openxmlformats.org/drawingml/2006/main" uniqueId="urn:diagrams.loki3.com/VaryingWidthList">
  <dgm:title val="Varying Width List"/>
  <dgm:desc val="Use for emphasizing items of different weights.  Good for large amounts of Level 1 text.  The width of each shape is independently determined based on its text."/>
  <dgm:catLst>
    <dgm:cat type="list" pri="4160"/>
    <dgm:cat type="officeonline" pri="5000"/>
  </dgm:catLst>
  <dgm:sampData useDef="1">
    <dgm:dataModel>
      <dgm:ptLst/>
      <dgm:bg/>
      <dgm:whole/>
    </dgm:dataModel>
  </dgm:sampData>
  <dgm:styleData useDef="1">
    <dgm:dataModel>
      <dgm:ptLst/>
      <dgm:bg/>
      <dgm:whole/>
    </dgm:dataModel>
  </dgm:styleData>
  <dgm:clrData useDef="1">
    <dgm:dataModel>
      <dgm:ptLst/>
      <dgm:bg/>
      <dgm:whole/>
    </dgm:dataModel>
  </dgm:clrData>
  <dgm:layoutNode name="Name0">
    <dgm:varLst>
      <dgm:resizeHandles/>
    </dgm:varLst>
    <dgm:alg type="lin">
      <dgm:param type="linDir" val="fromT"/>
    </dgm:alg>
    <dgm:shape xmlns:r="http://schemas.openxmlformats.org/officeDocument/2006/relationships" r:blip="">
      <dgm:adjLst/>
    </dgm:shape>
    <dgm:presOf/>
    <dgm:constrLst>
      <dgm:constr type="w" for="ch" forName="text" val="20"/>
      <dgm:constr type="h" for="ch" forName="text" refType="h"/>
      <dgm:constr type="primFontSz" for="ch" forName="text" op="equ" val="65"/>
      <dgm:constr type="h" for="ch" forName="space" refType="h" fact="0.05"/>
    </dgm:constrLst>
    <dgm:forEach name="Name1" axis="ch" ptType="node">
      <dgm:layoutNode name="text" styleLbl="node1">
        <dgm:varLst>
          <dgm:bulletEnabled val="1"/>
        </dgm:varLst>
        <dgm:alg type="tx"/>
        <dgm:shape xmlns:r="http://schemas.openxmlformats.org/officeDocument/2006/relationships" type="rect" r:blip="">
          <dgm:adjLst/>
        </dgm:shape>
        <dgm:presOf axis="desOrSelf" ptType="node"/>
        <dgm:constrLst>
          <dgm:constr type="tMarg" refType="primFontSz" fact="0.2"/>
          <dgm:constr type="bMarg" refType="primFontSz" fact="0.2"/>
          <dgm:constr type="lMarg" refType="primFontSz" fact="0.2"/>
          <dgm:constr type="rMarg" refType="primFontSz" fact="0.2"/>
        </dgm:constrLst>
        <dgm:ruleLst>
          <dgm:rule type="w" val="INF" fact="NaN" max="NaN"/>
          <dgm:rule type="primFontSz" val="5" fact="NaN" max="NaN"/>
        </dgm:ruleLst>
      </dgm:layoutNode>
      <dgm:choose name="Name2">
        <dgm:if name="Name3" axis="par ch" ptType="doc node" func="cnt" op="gte" val="2">
          <dgm:forEach name="Name4" axis="followSib" ptType="sibTrans" cnt="1">
            <dgm:layoutNode name="space">
              <dgm:alg type="sp"/>
              <dgm:shape xmlns:r="http://schemas.openxmlformats.org/officeDocument/2006/relationships" r:blip="">
                <dgm:adjLst/>
              </dgm:shape>
              <dgm:presOf/>
            </dgm:layoutNode>
          </dgm:forEach>
        </dgm:if>
        <dgm:else name="Name5"/>
      </dgm:choose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3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2.xml"/><Relationship Id="rId2" Type="http://schemas.openxmlformats.org/officeDocument/2006/relationships/diagramLayout" Target="../diagrams/layout2.xml"/><Relationship Id="rId1" Type="http://schemas.openxmlformats.org/officeDocument/2006/relationships/diagramData" Target="../diagrams/data2.xml"/><Relationship Id="rId5" Type="http://schemas.microsoft.com/office/2007/relationships/diagramDrawing" Target="../diagrams/drawing2.xml"/><Relationship Id="rId4" Type="http://schemas.openxmlformats.org/officeDocument/2006/relationships/diagramColors" Target="../diagrams/colors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diagramLayout" Target="../diagrams/layout3.xml"/><Relationship Id="rId2" Type="http://schemas.openxmlformats.org/officeDocument/2006/relationships/diagramData" Target="../diagrams/data3.xml"/><Relationship Id="rId1" Type="http://schemas.openxmlformats.org/officeDocument/2006/relationships/hyperlink" Target="#Alternatives!A1"/><Relationship Id="rId6" Type="http://schemas.microsoft.com/office/2007/relationships/diagramDrawing" Target="../diagrams/drawing3.xml"/><Relationship Id="rId5" Type="http://schemas.openxmlformats.org/officeDocument/2006/relationships/diagramColors" Target="../diagrams/colors3.xml"/><Relationship Id="rId4" Type="http://schemas.openxmlformats.org/officeDocument/2006/relationships/diagramQuickStyle" Target="../diagrams/quickStyle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601980</xdr:colOff>
      <xdr:row>1</xdr:row>
      <xdr:rowOff>22860</xdr:rowOff>
    </xdr:from>
    <xdr:to>
      <xdr:col>14</xdr:col>
      <xdr:colOff>22860</xdr:colOff>
      <xdr:row>12</xdr:row>
      <xdr:rowOff>0</xdr:rowOff>
    </xdr:to>
    <xdr:graphicFrame macro="">
      <xdr:nvGraphicFramePr>
        <xdr:cNvPr id="2" name="Diagram 1">
          <a:extLst>
            <a:ext uri="{FF2B5EF4-FFF2-40B4-BE49-F238E27FC236}">
              <a16:creationId xmlns:a16="http://schemas.microsoft.com/office/drawing/2014/main" id="{5C6915B6-5D37-4DFC-95AE-90B7B81EB8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1</xdr:row>
      <xdr:rowOff>30480</xdr:rowOff>
    </xdr:from>
    <xdr:to>
      <xdr:col>18</xdr:col>
      <xdr:colOff>370609</xdr:colOff>
      <xdr:row>31</xdr:row>
      <xdr:rowOff>61448</xdr:rowOff>
    </xdr:to>
    <xdr:graphicFrame macro="">
      <xdr:nvGraphicFramePr>
        <xdr:cNvPr id="2" name="Content Placeholder 3">
          <a:extLst>
            <a:ext uri="{FF2B5EF4-FFF2-40B4-BE49-F238E27FC236}">
              <a16:creationId xmlns:a16="http://schemas.microsoft.com/office/drawing/2014/main" id="{3FEC5B28-8683-40FB-8F1A-65097B077A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2</xdr:col>
      <xdr:colOff>205740</xdr:colOff>
      <xdr:row>28</xdr:row>
      <xdr:rowOff>106680</xdr:rowOff>
    </xdr:to>
    <xdr:graphicFrame macro="">
      <xdr:nvGraphicFramePr>
        <xdr:cNvPr id="150" name="Diagram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8E00F0-3DBA-40C4-9A66-D389FCA13A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3</xdr:col>
      <xdr:colOff>42484</xdr:colOff>
      <xdr:row>11</xdr:row>
      <xdr:rowOff>39466</xdr:rowOff>
    </xdr:from>
    <xdr:to>
      <xdr:col>5</xdr:col>
      <xdr:colOff>1403685</xdr:colOff>
      <xdr:row>21</xdr:row>
      <xdr:rowOff>0</xdr:rowOff>
    </xdr:to>
    <xdr:sp macro="" textlink="">
      <xdr:nvSpPr>
        <xdr:cNvPr id="24" name="TextBox 3">
          <a:extLst>
            <a:ext uri="{FF2B5EF4-FFF2-40B4-BE49-F238E27FC236}">
              <a16:creationId xmlns:a16="http://schemas.microsoft.com/office/drawing/2014/main" id="{E4EFA651-C158-31C9-E09B-AD205D28C328}"/>
            </a:ext>
          </a:extLst>
        </xdr:cNvPr>
        <xdr:cNvSpPr txBox="1"/>
      </xdr:nvSpPr>
      <xdr:spPr>
        <a:xfrm>
          <a:off x="1927431" y="4237150"/>
          <a:ext cx="7296780" cy="504053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>
              <a:latin typeface="+mn-lt"/>
            </a:rPr>
            <a:t>The World Robot Olympiad is a nonprofit organization. Its mission is to promote robotics and STEM in education worldwide. We will be participating in the Future Engineers Category which intends to</a:t>
          </a:r>
          <a:r>
            <a:rPr lang="en-US" sz="1600" baseline="0">
              <a:latin typeface="+mn-lt"/>
            </a:rPr>
            <a:t> </a:t>
          </a:r>
          <a:r>
            <a:rPr lang="en-US" sz="1600">
              <a:latin typeface="+mn-lt"/>
            </a:rPr>
            <a:t>teach students an engineering workflow by solving real-world-problems.​ Each year the competition gets a different theme. This year’s theme is “Robots Meet Culture”.​</a:t>
          </a:r>
          <a:r>
            <a:rPr lang="en-US" sz="1600" baseline="0">
              <a:latin typeface="+mn-lt"/>
            </a:rPr>
            <a:t> </a:t>
          </a:r>
        </a:p>
        <a:p>
          <a:endParaRPr lang="en-US" sz="1600" baseline="0">
            <a:latin typeface="+mn-lt"/>
          </a:endParaRPr>
        </a:p>
        <a:p>
          <a:r>
            <a:rPr lang="en-US" sz="1600">
              <a:latin typeface="+mn-lt"/>
            </a:rPr>
            <a:t>The main goal of the competition is for us to use computer vision and sensor fusion to estimate the state of the parkours and the vehicle itself. ​The competition consists of a “Time Attack” races, that means that we’re are going to compete one at a time; trying to achieve the best time.​ </a:t>
          </a:r>
          <a:r>
            <a:rPr lang="en-US" sz="1600"/>
            <a:t>The robot operates as an autonomous navigation agent in a semi-structured environment with dynamic rule-based obstacles and no prior map.</a:t>
          </a:r>
          <a:endParaRPr lang="en-US" sz="1600">
            <a:latin typeface="+mn-lt"/>
          </a:endParaRPr>
        </a:p>
        <a:p>
          <a:endParaRPr lang="en-US" sz="1600">
            <a:latin typeface="+mn-lt"/>
          </a:endParaRPr>
        </a:p>
        <a:p>
          <a:r>
            <a:rPr lang="en-US" sz="1600">
              <a:latin typeface="+mn-lt"/>
            </a:rPr>
            <a:t>There’s 2 challenges that will be presented (and it is mandatory to participate in both):​</a:t>
          </a:r>
        </a:p>
        <a:p>
          <a:r>
            <a:rPr lang="en-US" sz="1600">
              <a:latin typeface="+mn-lt"/>
            </a:rPr>
            <a:t>- Open Challenge: The vehicle must complete 3 laps on the track with random placements of the inside walls.​</a:t>
          </a:r>
        </a:p>
        <a:p>
          <a:r>
            <a:rPr lang="en-US" sz="1600">
              <a:latin typeface="+mn-lt"/>
            </a:rPr>
            <a:t>- Obstacle Challenge: The vehicle must complete 3 laps on a track with “traffic signs”, then, after completing the 3 laps, parallel park into a parking lot.​</a:t>
          </a:r>
        </a:p>
        <a:p>
          <a:endParaRPr lang="en-US" sz="1600">
            <a:latin typeface="+mn-lt"/>
          </a:endParaRPr>
        </a:p>
        <a:p>
          <a:r>
            <a:rPr lang="en-US" sz="1600">
              <a:latin typeface="+mn-lt"/>
            </a:rPr>
            <a:t>In addition to designing and programming the vehicle, the team must provide documentation that presents their engineering process.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409575</xdr:colOff>
      <xdr:row>28</xdr:row>
      <xdr:rowOff>123825</xdr:rowOff>
    </xdr:from>
    <xdr:to>
      <xdr:col>4</xdr:col>
      <xdr:colOff>1143000</xdr:colOff>
      <xdr:row>58</xdr:row>
      <xdr:rowOff>190500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44A8B2-DA52-C040-1E45-63B08DF7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8375" y="7648575"/>
          <a:ext cx="3009900" cy="9429750"/>
        </a:xfrm>
        <a:prstGeom prst="rect">
          <a:avLst/>
        </a:prstGeom>
      </xdr:spPr>
    </xdr:pic>
    <xdr:clientData/>
  </xdr:twoCellAnchor>
  <xdr:twoCellAnchor editAs="oneCell">
    <xdr:from>
      <xdr:col>4</xdr:col>
      <xdr:colOff>1695450</xdr:colOff>
      <xdr:row>29</xdr:row>
      <xdr:rowOff>133350</xdr:rowOff>
    </xdr:from>
    <xdr:to>
      <xdr:col>8</xdr:col>
      <xdr:colOff>733425</xdr:colOff>
      <xdr:row>44</xdr:row>
      <xdr:rowOff>161925</xdr:rowOff>
    </xdr:to>
    <xdr:pic>
      <xdr:nvPicPr>
        <xdr:cNvPr id="4" name="Picture 3" title="Diagrama funcional">
          <a:extLst>
            <a:ext uri="{FF2B5EF4-FFF2-40B4-BE49-F238E27FC236}">
              <a16:creationId xmlns:a16="http://schemas.microsoft.com/office/drawing/2014/main" id="{C9542EB3-372E-FF46-8FCE-89DABB3429BF}"/>
            </a:ext>
            <a:ext uri="{147F2762-F138-4A5C-976F-8EAC2B608ADB}">
              <a16:predDERef xmlns:a16="http://schemas.microsoft.com/office/drawing/2014/main" pred="{5244A8B2-DA52-C040-1E45-63B08DF79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00725" y="7734300"/>
          <a:ext cx="8686800" cy="2886075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richData/_rels/richValueRel.xml.rels><?xml version="1.0" encoding="UTF-8" standalone="yes" ?><Relationships xmlns="http://schemas.openxmlformats.org/package/2006/relationships"><Relationship Id="rId8" Target="../media/image8.jpeg" Type="http://schemas.openxmlformats.org/officeDocument/2006/relationships/image"/><Relationship Id="rId13" Target="../media/image13.jpeg" Type="http://schemas.openxmlformats.org/officeDocument/2006/relationships/image"/><Relationship Id="rId18" Target="../media/image18.jpeg" Type="http://schemas.openxmlformats.org/officeDocument/2006/relationships/image"/><Relationship Id="rId3" Target="../media/image3.jpeg" Type="http://schemas.openxmlformats.org/officeDocument/2006/relationships/image"/><Relationship Id="rId7" Target="../media/image7.jpeg" Type="http://schemas.openxmlformats.org/officeDocument/2006/relationships/image"/><Relationship Id="rId12" Target="../media/image12.jpeg" Type="http://schemas.openxmlformats.org/officeDocument/2006/relationships/image"/><Relationship Id="rId17" Target="../media/image17.png" Type="http://schemas.openxmlformats.org/officeDocument/2006/relationships/image"/><Relationship Id="rId2" Target="../media/image2.png" Type="http://schemas.openxmlformats.org/officeDocument/2006/relationships/image"/><Relationship Id="rId16" Target="../media/image16.jpeg" Type="http://schemas.openxmlformats.org/officeDocument/2006/relationships/image"/><Relationship Id="rId1" Target="../media/image1.jpeg" Type="http://schemas.openxmlformats.org/officeDocument/2006/relationships/image"/><Relationship Id="rId6" Target="../media/image6.jpeg" Type="http://schemas.openxmlformats.org/officeDocument/2006/relationships/image"/><Relationship Id="rId11" Target="../media/image11.jpeg" Type="http://schemas.openxmlformats.org/officeDocument/2006/relationships/image"/><Relationship Id="rId5" Target="../media/image5.jpeg" Type="http://schemas.openxmlformats.org/officeDocument/2006/relationships/image"/><Relationship Id="rId15" Target="../media/image15.jpeg" Type="http://schemas.openxmlformats.org/officeDocument/2006/relationships/image"/><Relationship Id="rId10" Target="../media/image10.jpeg" Type="http://schemas.openxmlformats.org/officeDocument/2006/relationships/image"/><Relationship Id="rId19" Target="../media/image19.jpeg" Type="http://schemas.openxmlformats.org/officeDocument/2006/relationships/image"/><Relationship Id="rId4" Target="../media/image4.jpeg" Type="http://schemas.openxmlformats.org/officeDocument/2006/relationships/image"/><Relationship Id="rId9" Target="../media/image9.png" Type="http://schemas.openxmlformats.org/officeDocument/2006/relationships/image"/><Relationship Id="rId14" Target="../media/image14.jpeg" Type="http://schemas.openxmlformats.org/officeDocument/2006/relationships/image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C8A92-98DD-4DAA-AC3E-94C1C77DE47A}" name="Tabla1" displayName="Tabla1" ref="B1:I20" totalsRowShown="0" headerRowDxfId="33" dataDxfId="31" headerRowBorderDxfId="32" tableBorderDxfId="30" totalsRowBorderDxfId="29">
  <autoFilter ref="B1:I20" xr:uid="{4F1C8A92-98DD-4DAA-AC3E-94C1C77DE47A}"/>
  <tableColumns count="8">
    <tableColumn id="1" xr3:uid="{BA042ADF-8B8E-4EF7-A0CB-2062043D4CC1}" name="Image" dataDxfId="28"/>
    <tableColumn id="2" xr3:uid="{4FD0EC9D-80EF-40CF-ACB5-D83F392C6807}" name="Item" dataDxfId="27"/>
    <tableColumn id="3" xr3:uid="{6D0D1754-8D8E-47F2-A0D2-442EAFE03530}" name="Description" dataDxfId="26"/>
    <tableColumn id="4" xr3:uid="{A5C4FA9E-385B-4FFC-83C0-8782F72CAD5E}" name="Link" dataDxfId="25"/>
    <tableColumn id="5" xr3:uid="{374D8A1C-3B89-40D0-A2A3-22961D936133}" name="Price p/u" dataDxfId="24"/>
    <tableColumn id="6" xr3:uid="{831CBDA6-6F03-4177-963F-A0574728A21F}" name="Quantity" dataDxfId="23"/>
    <tableColumn id="7" xr3:uid="{1EF3C62E-1ECB-499D-9680-D4A61010E012}" name="Total" dataDxfId="22">
      <calculatedColumnFormula>F2*G2</calculatedColumnFormula>
    </tableColumn>
    <tableColumn id="9" xr3:uid="{CF113EA5-FC0A-4C24-8079-71AF7EE4EBEE}" name="¿Who has it?" dataDxfId="21"/>
  </tableColumns>
  <tableStyleInfo name="TableStyleMedium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0F799C-84F1-4F0B-B05B-9F40DC68F9DB}" name="Table2" displayName="Table2" ref="V3:AA26" totalsRowShown="0" headerRowDxfId="20" dataDxfId="19">
  <autoFilter ref="V3:AA26" xr:uid="{F50F799C-84F1-4F0B-B05B-9F40DC68F9DB}"/>
  <tableColumns count="6">
    <tableColumn id="1" xr3:uid="{7E4D5F56-332F-435C-86EF-8E2E9008535F}" name="ID" dataDxfId="18">
      <calculatedColumnFormula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calculatedColumnFormula>
    </tableColumn>
    <tableColumn id="2" xr3:uid="{915D4AD3-4FD9-431E-A78D-E654415C818C}" name="Requirement Type" dataDxfId="17"/>
    <tableColumn id="3" xr3:uid="{154517F8-C41F-4C44-80E9-78573428E83E}" name="Requirement description" dataDxfId="16"/>
    <tableColumn id="4" xr3:uid="{E8FA31C1-ABE0-45E2-B471-1480074F62A7}" name="Verification criteria" dataDxfId="15"/>
    <tableColumn id="5" xr3:uid="{4158D2B5-251A-474F-B4F3-79BFB646C5DC}" name="Test method" dataDxfId="14"/>
    <tableColumn id="6" xr3:uid="{E49803A0-FD59-4CDB-B9DB-50DD80B5FDA8}" name="How does it affect the design?" dataDxfId="13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E68AFE9-2458-435B-B58F-14661AC0DBB8}" name="Tabla14" displayName="Tabla14" ref="N3:P29" totalsRowShown="0">
  <autoFilter ref="N3:P29" xr:uid="{EE68AFE9-2458-435B-B58F-14661AC0DBB8}"/>
  <tableColumns count="3">
    <tableColumn id="1" xr3:uid="{AF458532-FA02-433F-89D8-C0FB67ED9A88}" name="Subsystem"/>
    <tableColumn id="2" xr3:uid="{ABC16F11-976D-4703-860D-F6140C698039}" name="Description" dataDxfId="12"/>
    <tableColumn id="3" xr3:uid="{2618EBA6-F07E-446B-A61C-A3E20F6A32E7}" name="Used fo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F9FA58-6D7A-4165-B2F3-76CB758CFF69}" name="Tabla146" displayName="Tabla146" ref="R3:T10" totalsRowShown="0">
  <autoFilter ref="R3:T10" xr:uid="{26F9FA58-6D7A-4165-B2F3-76CB758CFF69}"/>
  <tableColumns count="3">
    <tableColumn id="1" xr3:uid="{2E4B780E-7345-423E-9904-C03ABC2EBFC6}" name="Subsystem"/>
    <tableColumn id="2" xr3:uid="{13332DB1-7B2B-4F9F-A661-46D8D585FA52}" name="Description" dataDxfId="11"/>
    <tableColumn id="3" xr3:uid="{0B1CACB1-A9DD-4535-B0D9-9FAB9BCF5E47}" name="Used fo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06EBEEC-9C61-4FD6-93CA-5B0A392A5EBC}" name="Tabla1467" displayName="Tabla1467" ref="R13:T19" totalsRowShown="0">
  <autoFilter ref="R13:T19" xr:uid="{406EBEEC-9C61-4FD6-93CA-5B0A392A5EBC}"/>
  <tableColumns count="3">
    <tableColumn id="1" xr3:uid="{6B35FE57-2B00-4178-A4CB-198B193729C3}" name="Subsystem"/>
    <tableColumn id="2" xr3:uid="{EA5662F8-866D-4B3C-BD3F-2CDA873F3A14}" name="Description" dataDxfId="10"/>
    <tableColumn id="3" xr3:uid="{AFAB8BE4-FCAC-4BC9-B4A7-ACD2FF19E00D}" name="Used fo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2A9F4F0-7430-4221-9A85-FBD4EE3A4CD9}" name="Tabla4" displayName="Tabla4" ref="AC3:AF9" totalsRowShown="0" dataDxfId="9">
  <autoFilter ref="AC3:AF9" xr:uid="{12A9F4F0-7430-4221-9A85-FBD4EE3A4CD9}"/>
  <sortState xmlns:xlrd2="http://schemas.microsoft.com/office/spreadsheetml/2017/richdata2" ref="AC4:AF9">
    <sortCondition descending="1" ref="AC3:AC9"/>
  </sortState>
  <tableColumns count="4">
    <tableColumn id="1" xr3:uid="{96D4BC58-8020-4AC9-81C4-FDB7194088E6}" name="Restriction Type" dataDxfId="8"/>
    <tableColumn id="2" xr3:uid="{CE2BB267-360A-480D-9282-AE55B4764FF6}" name="Restriction Description" dataDxfId="7"/>
    <tableColumn id="3" xr3:uid="{C01B9AA1-211D-4260-AC46-2D750C16D585}" name="Member affected" dataDxfId="6"/>
    <tableColumn id="4" xr3:uid="{0F03D3B3-3373-4878-9A3C-1464180F36A9}" name="Is it self imposed?" dataDxfId="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615869-4531-4440-8882-3A4E179A4567}" name="Tabla79" displayName="Tabla79" ref="AC12:AE28" totalsRowShown="0" headerRowDxfId="4" dataDxfId="3">
  <autoFilter ref="AC12:AE28" xr:uid="{E8615869-4531-4440-8882-3A4E179A4567}"/>
  <tableColumns count="3">
    <tableColumn id="1" xr3:uid="{AA3BFC8D-906F-44C1-8BA7-6273C645D9BB}" name="ID" dataDxfId="2">
      <calculatedColumnFormula>"CONST-"&amp;TEXT(ROW()-ROW(INDEX(Tabla79[ID],1))+1,"00")</calculatedColumnFormula>
    </tableColumn>
    <tableColumn id="2" xr3:uid="{4CCCC76A-FA88-4558-BA85-5B01D896DF55}" name="Type of Constraint" dataDxfId="1"/>
    <tableColumn id="3" xr3:uid="{DD35C406-CC97-406B-8886-7C9C8A0C704B}" name="Constraint Descriptio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a.co/d/gwSlMTs" TargetMode="External"/><Relationship Id="rId13" Type="http://schemas.openxmlformats.org/officeDocument/2006/relationships/hyperlink" Target="https://a.co/d/cd4GeR1" TargetMode="External"/><Relationship Id="rId18" Type="http://schemas.openxmlformats.org/officeDocument/2006/relationships/hyperlink" Target="https://a.co/d/0cAX82p" TargetMode="External"/><Relationship Id="rId3" Type="http://schemas.openxmlformats.org/officeDocument/2006/relationships/hyperlink" Target="https://a.co/d/6KmNTHS" TargetMode="External"/><Relationship Id="rId7" Type="http://schemas.openxmlformats.org/officeDocument/2006/relationships/hyperlink" Target="https://a.co/d/icDF5fv" TargetMode="External"/><Relationship Id="rId12" Type="http://schemas.openxmlformats.org/officeDocument/2006/relationships/hyperlink" Target="https://a.co/d/hosEdzq" TargetMode="External"/><Relationship Id="rId17" Type="http://schemas.openxmlformats.org/officeDocument/2006/relationships/hyperlink" Target="https://a.co/d/goO057H" TargetMode="External"/><Relationship Id="rId2" Type="http://schemas.openxmlformats.org/officeDocument/2006/relationships/hyperlink" Target="https://a.co/d/jgstoCK" TargetMode="External"/><Relationship Id="rId16" Type="http://schemas.openxmlformats.org/officeDocument/2006/relationships/hyperlink" Target="https://a.co/d/4y0owfb" TargetMode="External"/><Relationship Id="rId1" Type="http://schemas.openxmlformats.org/officeDocument/2006/relationships/hyperlink" Target="https://a.co/d/6PqTqqK" TargetMode="External"/><Relationship Id="rId6" Type="http://schemas.openxmlformats.org/officeDocument/2006/relationships/hyperlink" Target="https://a.co/d/cA8Ew5N" TargetMode="External"/><Relationship Id="rId11" Type="http://schemas.openxmlformats.org/officeDocument/2006/relationships/hyperlink" Target="https://a.co/d/2V3pE4r" TargetMode="External"/><Relationship Id="rId5" Type="http://schemas.openxmlformats.org/officeDocument/2006/relationships/hyperlink" Target="https://a.co/d/bUaVRkL" TargetMode="External"/><Relationship Id="rId15" Type="http://schemas.openxmlformats.org/officeDocument/2006/relationships/hyperlink" Target="https://a.co/d/bx74lfh" TargetMode="External"/><Relationship Id="rId10" Type="http://schemas.openxmlformats.org/officeDocument/2006/relationships/hyperlink" Target="https://a.co/d/fkc9Jh5" TargetMode="External"/><Relationship Id="rId19" Type="http://schemas.openxmlformats.org/officeDocument/2006/relationships/table" Target="../tables/table1.xml"/><Relationship Id="rId4" Type="http://schemas.openxmlformats.org/officeDocument/2006/relationships/hyperlink" Target="https://a.co/d/erLdHud" TargetMode="External"/><Relationship Id="rId9" Type="http://schemas.openxmlformats.org/officeDocument/2006/relationships/hyperlink" Target="https://a.co/d/3yzsWzL" TargetMode="External"/><Relationship Id="rId14" Type="http://schemas.openxmlformats.org/officeDocument/2006/relationships/hyperlink" Target="https://a.co/d/bJMaoym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03312-8D79-4445-AB0D-9BF061622F98}">
  <sheetPr codeName="Hoja1"/>
  <dimension ref="C15:AA40"/>
  <sheetViews>
    <sheetView topLeftCell="A14" zoomScale="76" workbookViewId="0">
      <selection activeCell="S47" sqref="S47"/>
    </sheetView>
  </sheetViews>
  <sheetFormatPr baseColWidth="10" defaultColWidth="9.109375" defaultRowHeight="14.4" x14ac:dyDescent="0.3"/>
  <cols>
    <col min="3" max="3" width="17" bestFit="1" customWidth="1"/>
    <col min="4" max="4" width="6" bestFit="1" customWidth="1"/>
    <col min="5" max="5" width="7" bestFit="1" customWidth="1"/>
    <col min="6" max="6" width="11.33203125" bestFit="1" customWidth="1"/>
    <col min="7" max="7" width="13.44140625" bestFit="1" customWidth="1"/>
    <col min="8" max="8" width="10.109375" bestFit="1" customWidth="1"/>
    <col min="9" max="9" width="14.5546875" bestFit="1" customWidth="1"/>
    <col min="10" max="10" width="10" bestFit="1" customWidth="1"/>
    <col min="11" max="11" width="9.44140625" bestFit="1" customWidth="1"/>
    <col min="12" max="12" width="7.88671875" bestFit="1" customWidth="1"/>
    <col min="17" max="17" width="16.44140625" bestFit="1" customWidth="1"/>
    <col min="18" max="27" width="20.44140625" customWidth="1"/>
    <col min="28" max="36" width="17.33203125" customWidth="1"/>
  </cols>
  <sheetData>
    <row r="15" spans="3:17" x14ac:dyDescent="0.3">
      <c r="C15" s="80" t="s">
        <v>0</v>
      </c>
      <c r="Q15" s="80" t="s">
        <v>0</v>
      </c>
    </row>
    <row r="16" spans="3:17" x14ac:dyDescent="0.3">
      <c r="E16" s="12" t="s">
        <v>1</v>
      </c>
      <c r="F16" s="12" t="s">
        <v>2</v>
      </c>
      <c r="G16" s="12"/>
      <c r="H16" s="12"/>
      <c r="I16" s="12" t="s">
        <v>3</v>
      </c>
      <c r="J16" s="12"/>
      <c r="K16" s="12"/>
      <c r="L16" s="12" t="s">
        <v>4</v>
      </c>
      <c r="M16" s="12"/>
      <c r="N16" s="12" t="s">
        <v>5</v>
      </c>
    </row>
    <row r="17" spans="3:27" x14ac:dyDescent="0.3">
      <c r="C17" s="2"/>
      <c r="D17" s="2"/>
      <c r="E17" s="2"/>
      <c r="F17" s="11" t="s">
        <v>6</v>
      </c>
      <c r="G17" s="5"/>
      <c r="H17" s="5"/>
      <c r="I17" s="11" t="s">
        <v>7</v>
      </c>
      <c r="J17" s="5"/>
      <c r="K17" s="11" t="s">
        <v>8</v>
      </c>
      <c r="L17" s="11" t="s">
        <v>9</v>
      </c>
      <c r="M17" s="5"/>
      <c r="N17" s="11" t="s">
        <v>10</v>
      </c>
      <c r="R17" t="s">
        <v>516</v>
      </c>
      <c r="S17" t="s">
        <v>517</v>
      </c>
      <c r="T17" t="s">
        <v>518</v>
      </c>
      <c r="U17" t="s">
        <v>519</v>
      </c>
      <c r="V17" t="s">
        <v>520</v>
      </c>
      <c r="W17" t="s">
        <v>521</v>
      </c>
      <c r="X17" t="s">
        <v>522</v>
      </c>
    </row>
    <row r="18" spans="3:27" x14ac:dyDescent="0.3">
      <c r="C18" s="2"/>
      <c r="D18" s="5" t="s">
        <v>11</v>
      </c>
      <c r="E18" s="5" t="s">
        <v>12</v>
      </c>
      <c r="F18" s="5" t="s">
        <v>13</v>
      </c>
      <c r="G18" s="5" t="s">
        <v>14</v>
      </c>
      <c r="H18" s="5" t="s">
        <v>15</v>
      </c>
      <c r="I18" s="5" t="s">
        <v>16</v>
      </c>
      <c r="J18" s="5" t="s">
        <v>17</v>
      </c>
      <c r="L18" s="5" t="s">
        <v>18</v>
      </c>
      <c r="M18" s="5" t="s">
        <v>19</v>
      </c>
      <c r="N18" s="5" t="s">
        <v>20</v>
      </c>
      <c r="Q18" s="2"/>
      <c r="R18" s="2" t="s">
        <v>11</v>
      </c>
      <c r="S18" s="2" t="s">
        <v>12</v>
      </c>
      <c r="T18" s="2" t="s">
        <v>13</v>
      </c>
      <c r="U18" s="2" t="s">
        <v>14</v>
      </c>
      <c r="V18" s="2" t="s">
        <v>15</v>
      </c>
      <c r="W18" s="2" t="s">
        <v>16</v>
      </c>
      <c r="X18" s="2" t="s">
        <v>17</v>
      </c>
    </row>
    <row r="19" spans="3:27" x14ac:dyDescent="0.3">
      <c r="C19" s="3" t="s">
        <v>21</v>
      </c>
      <c r="D19" s="19" t="s">
        <v>22</v>
      </c>
      <c r="E19" s="19" t="s">
        <v>21</v>
      </c>
      <c r="F19" s="2"/>
      <c r="G19" s="2"/>
      <c r="H19" s="2"/>
      <c r="I19" s="2"/>
      <c r="J19" s="2"/>
      <c r="K19" s="2"/>
      <c r="L19" s="2"/>
      <c r="M19" s="2"/>
      <c r="N19" s="2"/>
      <c r="Q19" s="3" t="s">
        <v>21</v>
      </c>
      <c r="R19" s="85" t="s">
        <v>22</v>
      </c>
      <c r="S19" s="85" t="s">
        <v>21</v>
      </c>
      <c r="T19" s="86"/>
      <c r="U19" s="86"/>
      <c r="V19" s="86"/>
      <c r="W19" s="86"/>
      <c r="X19" s="86"/>
    </row>
    <row r="20" spans="3:27" x14ac:dyDescent="0.3">
      <c r="C20" s="3" t="s">
        <v>23</v>
      </c>
      <c r="D20" s="2"/>
      <c r="E20" s="4"/>
      <c r="F20" s="4"/>
      <c r="G20" s="2"/>
      <c r="H20" s="2"/>
      <c r="I20" s="2"/>
      <c r="J20" s="2"/>
      <c r="K20" s="2"/>
      <c r="L20" s="2"/>
      <c r="M20" s="2"/>
      <c r="N20" s="2"/>
      <c r="Q20" s="3" t="s">
        <v>23</v>
      </c>
      <c r="R20" s="86"/>
      <c r="S20" s="87"/>
      <c r="T20" s="86"/>
      <c r="U20" s="86"/>
      <c r="V20" s="86"/>
      <c r="W20" s="86"/>
      <c r="X20" s="86"/>
    </row>
    <row r="21" spans="3:27" x14ac:dyDescent="0.3">
      <c r="C21" s="3" t="s">
        <v>24</v>
      </c>
      <c r="D21" s="2"/>
      <c r="E21" s="2"/>
      <c r="F21" s="19" t="s">
        <v>25</v>
      </c>
      <c r="G21" s="19" t="s">
        <v>26</v>
      </c>
      <c r="H21" s="19" t="s">
        <v>27</v>
      </c>
      <c r="I21" s="19" t="s">
        <v>28</v>
      </c>
      <c r="J21" s="2"/>
      <c r="K21" s="2"/>
      <c r="L21" s="2"/>
      <c r="M21" s="2"/>
      <c r="N21" s="2"/>
      <c r="Q21" s="3" t="s">
        <v>24</v>
      </c>
      <c r="R21" s="86"/>
      <c r="S21" s="86"/>
      <c r="T21" s="85" t="s">
        <v>514</v>
      </c>
      <c r="U21" s="4" t="s">
        <v>515</v>
      </c>
      <c r="V21" s="86"/>
      <c r="W21" s="86"/>
      <c r="X21" s="86"/>
    </row>
    <row r="22" spans="3:27" x14ac:dyDescent="0.3">
      <c r="C22" s="3" t="s">
        <v>29</v>
      </c>
      <c r="D22" s="2"/>
      <c r="E22" s="2"/>
      <c r="F22" s="2"/>
      <c r="G22" s="2"/>
      <c r="H22" s="4" t="s">
        <v>30</v>
      </c>
      <c r="I22" s="4" t="s">
        <v>31</v>
      </c>
      <c r="J22" s="4" t="s">
        <v>32</v>
      </c>
      <c r="K22" s="2"/>
      <c r="L22" s="2"/>
      <c r="M22" s="2"/>
      <c r="N22" s="2"/>
      <c r="Q22" s="3" t="s">
        <v>29</v>
      </c>
      <c r="R22" s="86"/>
      <c r="S22" s="86"/>
      <c r="T22" s="85" t="s">
        <v>513</v>
      </c>
      <c r="U22" s="19" t="s">
        <v>28</v>
      </c>
      <c r="V22" s="86"/>
      <c r="W22" s="86"/>
      <c r="X22" s="86"/>
    </row>
    <row r="23" spans="3:27" x14ac:dyDescent="0.3">
      <c r="C23" s="3" t="s">
        <v>33</v>
      </c>
      <c r="D23" s="2"/>
      <c r="E23" s="2"/>
      <c r="F23" s="2"/>
      <c r="G23" s="2"/>
      <c r="H23" s="2"/>
      <c r="I23" s="19" t="s">
        <v>28</v>
      </c>
      <c r="J23" s="19" t="s">
        <v>34</v>
      </c>
      <c r="K23" s="19" t="s">
        <v>35</v>
      </c>
      <c r="L23" s="2"/>
      <c r="M23" s="2"/>
      <c r="N23" s="2"/>
      <c r="Q23" s="3" t="s">
        <v>33</v>
      </c>
      <c r="R23" s="86"/>
      <c r="S23" s="86"/>
      <c r="T23" s="86"/>
      <c r="U23" s="19" t="s">
        <v>34</v>
      </c>
      <c r="V23" s="19" t="s">
        <v>34</v>
      </c>
      <c r="W23" s="19" t="s">
        <v>583</v>
      </c>
      <c r="X23" s="86"/>
    </row>
    <row r="24" spans="3:27" x14ac:dyDescent="0.3">
      <c r="C24" s="3" t="s">
        <v>36</v>
      </c>
      <c r="D24" s="2"/>
      <c r="E24" s="2"/>
      <c r="F24" s="2"/>
      <c r="G24" s="2"/>
      <c r="H24" s="2"/>
      <c r="I24" s="2"/>
      <c r="J24" s="2"/>
      <c r="K24" s="4" t="s">
        <v>27</v>
      </c>
      <c r="L24" s="4" t="s">
        <v>27</v>
      </c>
      <c r="M24" s="2"/>
      <c r="N24" s="2"/>
      <c r="Q24" s="3" t="s">
        <v>36</v>
      </c>
      <c r="R24" s="86"/>
      <c r="S24" s="86"/>
      <c r="T24" s="86"/>
      <c r="U24" s="86"/>
      <c r="V24" s="4" t="s">
        <v>27</v>
      </c>
      <c r="W24" s="4" t="s">
        <v>27</v>
      </c>
      <c r="X24" s="90" t="s">
        <v>584</v>
      </c>
    </row>
    <row r="25" spans="3:27" x14ac:dyDescent="0.3">
      <c r="C25" s="3" t="s">
        <v>37</v>
      </c>
      <c r="D25" s="2"/>
      <c r="E25" s="2"/>
      <c r="F25" s="2"/>
      <c r="G25" s="2"/>
      <c r="H25" s="2"/>
      <c r="I25" s="2"/>
      <c r="J25" s="2"/>
      <c r="K25" s="2"/>
      <c r="L25" s="2"/>
      <c r="M25" s="19" t="s">
        <v>22</v>
      </c>
      <c r="N25" s="19" t="s">
        <v>38</v>
      </c>
      <c r="Q25" s="3" t="s">
        <v>37</v>
      </c>
      <c r="R25" s="86"/>
      <c r="S25" s="86"/>
      <c r="T25" s="86"/>
      <c r="U25" s="86"/>
      <c r="V25" s="86"/>
      <c r="W25" s="86"/>
      <c r="X25" s="86"/>
    </row>
    <row r="29" spans="3:27" x14ac:dyDescent="0.3">
      <c r="Q29" s="81" t="s">
        <v>39</v>
      </c>
    </row>
    <row r="30" spans="3:27" ht="28.8" x14ac:dyDescent="0.3">
      <c r="C30" s="81" t="s">
        <v>39</v>
      </c>
      <c r="Y30" s="89" t="s">
        <v>536</v>
      </c>
      <c r="AA30" s="89" t="s">
        <v>537</v>
      </c>
    </row>
    <row r="31" spans="3:27" x14ac:dyDescent="0.3">
      <c r="D31" t="s">
        <v>40</v>
      </c>
      <c r="E31" s="12" t="s">
        <v>41</v>
      </c>
      <c r="G31" s="12"/>
      <c r="H31" s="12" t="s">
        <v>42</v>
      </c>
      <c r="I31" s="12"/>
      <c r="J31" s="12"/>
      <c r="K31" s="12" t="s">
        <v>43</v>
      </c>
      <c r="L31" s="12"/>
      <c r="M31" s="12" t="s">
        <v>44</v>
      </c>
      <c r="N31" s="12"/>
      <c r="R31" t="s">
        <v>523</v>
      </c>
      <c r="S31" t="s">
        <v>524</v>
      </c>
      <c r="T31" t="s">
        <v>525</v>
      </c>
      <c r="U31" t="s">
        <v>526</v>
      </c>
      <c r="V31" t="s">
        <v>527</v>
      </c>
      <c r="W31" t="s">
        <v>528</v>
      </c>
      <c r="X31" t="s">
        <v>529</v>
      </c>
      <c r="Y31" t="s">
        <v>530</v>
      </c>
      <c r="Z31" t="s">
        <v>531</v>
      </c>
      <c r="AA31" t="s">
        <v>532</v>
      </c>
    </row>
    <row r="32" spans="3:27" x14ac:dyDescent="0.3">
      <c r="C32" s="2"/>
      <c r="D32" s="2"/>
      <c r="E32" s="11" t="s">
        <v>45</v>
      </c>
      <c r="F32" s="11"/>
      <c r="G32" s="11" t="s">
        <v>46</v>
      </c>
      <c r="H32" s="11" t="s">
        <v>47</v>
      </c>
      <c r="I32" s="11"/>
      <c r="J32" s="5"/>
      <c r="K32" s="11" t="s">
        <v>48</v>
      </c>
      <c r="L32" s="11"/>
      <c r="M32" s="11" t="s">
        <v>49</v>
      </c>
      <c r="N32" s="11"/>
      <c r="Q32" s="2"/>
      <c r="R32" s="2" t="s">
        <v>50</v>
      </c>
      <c r="S32" s="2" t="s">
        <v>18</v>
      </c>
      <c r="T32" s="2" t="s">
        <v>19</v>
      </c>
      <c r="U32" s="2" t="s">
        <v>20</v>
      </c>
      <c r="V32" s="2" t="s">
        <v>509</v>
      </c>
      <c r="W32" s="2" t="s">
        <v>510</v>
      </c>
      <c r="X32" s="2" t="s">
        <v>511</v>
      </c>
      <c r="Y32" s="2" t="s">
        <v>512</v>
      </c>
      <c r="Z32" s="2" t="s">
        <v>533</v>
      </c>
      <c r="AA32" s="2" t="s">
        <v>534</v>
      </c>
    </row>
    <row r="33" spans="3:27" x14ac:dyDescent="0.3">
      <c r="C33" s="2"/>
      <c r="D33" s="5" t="s">
        <v>11</v>
      </c>
      <c r="E33" s="5" t="s">
        <v>12</v>
      </c>
      <c r="F33" s="5" t="s">
        <v>13</v>
      </c>
      <c r="G33" s="5" t="s">
        <v>14</v>
      </c>
      <c r="H33" s="5" t="s">
        <v>15</v>
      </c>
      <c r="I33" s="5" t="s">
        <v>16</v>
      </c>
      <c r="J33" s="5" t="s">
        <v>17</v>
      </c>
      <c r="K33" s="79" t="s">
        <v>50</v>
      </c>
      <c r="L33" s="5" t="s">
        <v>18</v>
      </c>
      <c r="M33" s="5" t="s">
        <v>19</v>
      </c>
      <c r="N33" s="5" t="s">
        <v>20</v>
      </c>
      <c r="Q33" s="3" t="s">
        <v>51</v>
      </c>
      <c r="R33" s="19"/>
      <c r="S33" s="19"/>
      <c r="T33" s="2"/>
      <c r="U33" s="2"/>
      <c r="V33" s="2"/>
      <c r="W33" s="2"/>
      <c r="X33" s="2"/>
      <c r="Y33" s="2"/>
      <c r="Z33" s="2"/>
      <c r="AA33" s="2"/>
    </row>
    <row r="34" spans="3:27" x14ac:dyDescent="0.3">
      <c r="C34" s="3" t="s">
        <v>51</v>
      </c>
      <c r="D34" s="19"/>
      <c r="E34" s="19"/>
      <c r="F34" s="2"/>
      <c r="G34" s="2"/>
      <c r="H34" s="2"/>
      <c r="I34" s="2"/>
      <c r="J34" s="2"/>
      <c r="K34" s="2"/>
      <c r="L34" s="2"/>
      <c r="M34" s="2"/>
      <c r="N34" s="2"/>
      <c r="Q34" s="3" t="s">
        <v>39</v>
      </c>
      <c r="R34" s="4"/>
      <c r="S34" s="4"/>
      <c r="T34" s="4"/>
      <c r="U34" s="4"/>
      <c r="V34" s="4"/>
      <c r="W34" s="4"/>
      <c r="X34" s="2"/>
      <c r="Y34" s="2"/>
      <c r="Z34" s="2"/>
      <c r="AA34" s="2"/>
    </row>
    <row r="35" spans="3:27" x14ac:dyDescent="0.3">
      <c r="C35" s="3" t="s">
        <v>39</v>
      </c>
      <c r="D35" s="4"/>
      <c r="E35" s="4"/>
      <c r="F35" s="4"/>
      <c r="G35" s="4"/>
      <c r="H35" s="4"/>
      <c r="I35" s="2"/>
      <c r="J35" s="2"/>
      <c r="K35" s="2"/>
      <c r="L35" s="2"/>
      <c r="M35" s="2"/>
      <c r="N35" s="2"/>
      <c r="Q35" s="3" t="s">
        <v>52</v>
      </c>
      <c r="R35" s="2"/>
      <c r="S35" s="2"/>
      <c r="T35" s="19"/>
      <c r="U35" s="19"/>
      <c r="V35" s="2"/>
      <c r="W35" s="2"/>
      <c r="X35" s="2"/>
      <c r="Y35" s="2"/>
      <c r="Z35" s="2"/>
      <c r="AA35" s="2"/>
    </row>
    <row r="36" spans="3:27" ht="43.2" x14ac:dyDescent="0.3">
      <c r="C36" s="3" t="s">
        <v>52</v>
      </c>
      <c r="D36" s="2"/>
      <c r="E36" s="2"/>
      <c r="F36" s="19"/>
      <c r="G36" s="19"/>
      <c r="H36" s="2"/>
      <c r="I36" s="2"/>
      <c r="J36" s="2"/>
      <c r="K36" s="2"/>
      <c r="L36" s="2"/>
      <c r="M36" s="2"/>
      <c r="N36" s="2"/>
      <c r="Q36" s="88" t="s">
        <v>535</v>
      </c>
      <c r="R36" s="2"/>
      <c r="S36" s="2"/>
      <c r="T36" s="2"/>
      <c r="U36" s="2"/>
      <c r="V36" s="4"/>
      <c r="W36" s="4"/>
      <c r="X36" s="4"/>
      <c r="Y36" s="4"/>
      <c r="Z36" s="2"/>
      <c r="AA36" s="2"/>
    </row>
    <row r="37" spans="3:27" x14ac:dyDescent="0.3">
      <c r="C37" s="3" t="s">
        <v>53</v>
      </c>
      <c r="D37" s="2"/>
      <c r="E37" s="2"/>
      <c r="F37" s="2"/>
      <c r="G37" s="2"/>
      <c r="H37" s="4"/>
      <c r="I37" s="4"/>
      <c r="J37" s="4"/>
      <c r="K37" s="4"/>
      <c r="L37" s="2"/>
      <c r="M37" s="2"/>
      <c r="N37" s="2"/>
      <c r="Q37" s="3" t="s">
        <v>54</v>
      </c>
      <c r="R37" s="2"/>
      <c r="S37" s="2"/>
      <c r="T37" s="2"/>
      <c r="U37" s="2"/>
      <c r="V37" s="2"/>
      <c r="W37" s="2"/>
      <c r="X37" s="2"/>
      <c r="Y37" s="19"/>
      <c r="Z37" s="19"/>
      <c r="AA37" s="19"/>
    </row>
    <row r="38" spans="3:27" x14ac:dyDescent="0.3">
      <c r="C38" s="3" t="s">
        <v>54</v>
      </c>
      <c r="D38" s="2"/>
      <c r="E38" s="2"/>
      <c r="F38" s="2"/>
      <c r="G38" s="2"/>
      <c r="H38" s="2"/>
      <c r="I38" s="2"/>
      <c r="J38" s="2"/>
      <c r="K38" s="19"/>
      <c r="L38" s="19"/>
      <c r="M38" s="19"/>
      <c r="N38" s="2"/>
    </row>
    <row r="39" spans="3:27" x14ac:dyDescent="0.3">
      <c r="C39" s="3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</row>
    <row r="40" spans="3:27" x14ac:dyDescent="0.3">
      <c r="C40" s="3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CD2BC-47ED-47C5-A32B-FBA9B8BBCD52}">
  <sheetPr codeName="Hoja2"/>
  <dimension ref="A1"/>
  <sheetViews>
    <sheetView topLeftCell="A7" workbookViewId="0">
      <selection activeCell="V7" sqref="V7"/>
    </sheetView>
  </sheetViews>
  <sheetFormatPr baseColWidth="10" defaultColWidth="9.109375"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AB375-B5FA-4085-9533-97B0A8718C12}">
  <dimension ref="B1:I20"/>
  <sheetViews>
    <sheetView workbookViewId="0">
      <selection activeCell="C2" sqref="C2"/>
    </sheetView>
  </sheetViews>
  <sheetFormatPr baseColWidth="10" defaultColWidth="8.88671875" defaultRowHeight="14.4" x14ac:dyDescent="0.3"/>
  <cols>
    <col min="3" max="3" width="43.109375" bestFit="1" customWidth="1"/>
    <col min="4" max="4" width="14.88671875" bestFit="1" customWidth="1"/>
    <col min="5" max="5" width="23.44140625" customWidth="1"/>
    <col min="6" max="6" width="10.5546875" customWidth="1"/>
    <col min="7" max="7" width="10.21875" customWidth="1"/>
    <col min="9" max="9" width="13.109375" customWidth="1"/>
  </cols>
  <sheetData>
    <row r="1" spans="2:9" x14ac:dyDescent="0.3">
      <c r="B1" s="100" t="s">
        <v>575</v>
      </c>
      <c r="C1" s="100" t="s">
        <v>576</v>
      </c>
      <c r="D1" s="100" t="s">
        <v>589</v>
      </c>
      <c r="E1" s="100" t="s">
        <v>577</v>
      </c>
      <c r="F1" s="100" t="s">
        <v>578</v>
      </c>
      <c r="G1" s="100" t="s">
        <v>579</v>
      </c>
      <c r="H1" s="100" t="s">
        <v>580</v>
      </c>
      <c r="I1" s="100" t="s">
        <v>707</v>
      </c>
    </row>
    <row r="2" spans="2:9" ht="43.2" x14ac:dyDescent="0.3">
      <c r="B2" s="101" t="e" vm="1">
        <v>#VALUE!</v>
      </c>
      <c r="C2" s="102" t="s">
        <v>538</v>
      </c>
      <c r="D2" s="102"/>
      <c r="E2" s="103" t="s">
        <v>539</v>
      </c>
      <c r="F2" s="104">
        <v>5.79</v>
      </c>
      <c r="G2" s="102">
        <v>2</v>
      </c>
      <c r="H2" s="104">
        <f t="shared" ref="H2:H20" si="0">F2*G2</f>
        <v>11.58</v>
      </c>
      <c r="I2" s="102"/>
    </row>
    <row r="3" spans="2:9" ht="57.6" x14ac:dyDescent="0.3">
      <c r="B3" s="101" t="e" vm="2">
        <v>#VALUE!</v>
      </c>
      <c r="C3" s="102" t="s">
        <v>540</v>
      </c>
      <c r="D3" s="102"/>
      <c r="E3" s="103" t="s">
        <v>541</v>
      </c>
      <c r="F3" s="104">
        <v>49.99</v>
      </c>
      <c r="G3" s="102">
        <v>1</v>
      </c>
      <c r="H3" s="104">
        <f t="shared" si="0"/>
        <v>49.99</v>
      </c>
      <c r="I3" s="102"/>
    </row>
    <row r="4" spans="2:9" ht="57.6" x14ac:dyDescent="0.3">
      <c r="B4" s="101" t="e" vm="3">
        <v>#VALUE!</v>
      </c>
      <c r="C4" s="102" t="s">
        <v>581</v>
      </c>
      <c r="D4" s="102"/>
      <c r="E4" s="103" t="s">
        <v>542</v>
      </c>
      <c r="F4" s="104">
        <v>7.99</v>
      </c>
      <c r="G4" s="102">
        <v>1</v>
      </c>
      <c r="H4" s="104">
        <f t="shared" si="0"/>
        <v>7.99</v>
      </c>
      <c r="I4" s="102"/>
    </row>
    <row r="5" spans="2:9" ht="57.6" x14ac:dyDescent="0.3">
      <c r="B5" s="101" t="e" vm="4">
        <v>#VALUE!</v>
      </c>
      <c r="C5" s="102" t="s">
        <v>543</v>
      </c>
      <c r="D5" s="102"/>
      <c r="E5" s="103" t="s">
        <v>544</v>
      </c>
      <c r="F5" s="104">
        <v>12.95</v>
      </c>
      <c r="G5" s="102">
        <v>1</v>
      </c>
      <c r="H5" s="104">
        <f t="shared" si="0"/>
        <v>12.95</v>
      </c>
      <c r="I5" s="102"/>
    </row>
    <row r="6" spans="2:9" ht="57.6" x14ac:dyDescent="0.3">
      <c r="B6" s="101" t="e" vm="5">
        <v>#VALUE!</v>
      </c>
      <c r="C6" s="102" t="s">
        <v>545</v>
      </c>
      <c r="D6" s="102"/>
      <c r="E6" s="103" t="s">
        <v>546</v>
      </c>
      <c r="F6" s="104">
        <v>17.95</v>
      </c>
      <c r="G6" s="102">
        <v>0</v>
      </c>
      <c r="H6" s="104">
        <f t="shared" si="0"/>
        <v>0</v>
      </c>
      <c r="I6" s="102"/>
    </row>
    <row r="7" spans="2:9" ht="57.6" x14ac:dyDescent="0.3">
      <c r="B7" s="101" t="e" vm="6">
        <v>#VALUE!</v>
      </c>
      <c r="C7" s="102" t="s">
        <v>547</v>
      </c>
      <c r="D7" s="102"/>
      <c r="E7" s="103" t="s">
        <v>548</v>
      </c>
      <c r="F7" s="104">
        <v>17.95</v>
      </c>
      <c r="G7" s="102">
        <v>1</v>
      </c>
      <c r="H7" s="104">
        <f t="shared" si="0"/>
        <v>17.95</v>
      </c>
      <c r="I7" s="102"/>
    </row>
    <row r="8" spans="2:9" ht="57.6" x14ac:dyDescent="0.3">
      <c r="B8" s="101" t="e" vm="7">
        <v>#VALUE!</v>
      </c>
      <c r="C8" s="102" t="s">
        <v>549</v>
      </c>
      <c r="D8" s="102"/>
      <c r="E8" s="103" t="s">
        <v>550</v>
      </c>
      <c r="F8" s="104">
        <v>5.59</v>
      </c>
      <c r="G8" s="102">
        <v>1</v>
      </c>
      <c r="H8" s="104">
        <f t="shared" si="0"/>
        <v>5.59</v>
      </c>
      <c r="I8" s="102"/>
    </row>
    <row r="9" spans="2:9" ht="57.6" x14ac:dyDescent="0.3">
      <c r="B9" s="101" t="e" vm="8">
        <v>#VALUE!</v>
      </c>
      <c r="C9" s="102" t="s">
        <v>551</v>
      </c>
      <c r="D9" s="102"/>
      <c r="E9" s="103" t="s">
        <v>552</v>
      </c>
      <c r="F9" s="104">
        <v>12.49</v>
      </c>
      <c r="G9" s="102">
        <v>2</v>
      </c>
      <c r="H9" s="104">
        <f t="shared" si="0"/>
        <v>24.98</v>
      </c>
      <c r="I9" s="102"/>
    </row>
    <row r="10" spans="2:9" ht="57.6" x14ac:dyDescent="0.3">
      <c r="B10" s="101" t="e" vm="9">
        <v>#VALUE!</v>
      </c>
      <c r="C10" s="102" t="s">
        <v>553</v>
      </c>
      <c r="D10" s="102"/>
      <c r="E10" s="103" t="s">
        <v>554</v>
      </c>
      <c r="F10" s="104">
        <v>23</v>
      </c>
      <c r="G10" s="102">
        <v>1</v>
      </c>
      <c r="H10" s="104">
        <f t="shared" si="0"/>
        <v>23</v>
      </c>
      <c r="I10" s="102"/>
    </row>
    <row r="11" spans="2:9" ht="72" x14ac:dyDescent="0.3">
      <c r="B11" s="101" t="e" vm="10">
        <v>#VALUE!</v>
      </c>
      <c r="C11" s="102" t="s">
        <v>555</v>
      </c>
      <c r="D11" s="102"/>
      <c r="E11" s="103" t="s">
        <v>556</v>
      </c>
      <c r="F11" s="104">
        <v>16.989999999999998</v>
      </c>
      <c r="G11" s="102">
        <v>1</v>
      </c>
      <c r="H11" s="104">
        <f t="shared" si="0"/>
        <v>16.989999999999998</v>
      </c>
      <c r="I11" s="102"/>
    </row>
    <row r="12" spans="2:9" ht="43.2" x14ac:dyDescent="0.3">
      <c r="B12" s="101" t="e" vm="11">
        <v>#VALUE!</v>
      </c>
      <c r="C12" s="102" t="s">
        <v>557</v>
      </c>
      <c r="D12" s="102"/>
      <c r="E12" s="103" t="s">
        <v>558</v>
      </c>
      <c r="F12" s="104">
        <v>22.69</v>
      </c>
      <c r="G12" s="102">
        <v>1</v>
      </c>
      <c r="H12" s="104">
        <f t="shared" si="0"/>
        <v>22.69</v>
      </c>
      <c r="I12" s="102"/>
    </row>
    <row r="13" spans="2:9" ht="43.2" x14ac:dyDescent="0.3">
      <c r="B13" s="101" t="e" vm="12">
        <v>#VALUE!</v>
      </c>
      <c r="C13" s="102" t="s">
        <v>559</v>
      </c>
      <c r="D13" s="102"/>
      <c r="E13" s="103" t="s">
        <v>560</v>
      </c>
      <c r="F13" s="104">
        <v>6.99</v>
      </c>
      <c r="G13" s="102">
        <v>1</v>
      </c>
      <c r="H13" s="104">
        <f t="shared" si="0"/>
        <v>6.99</v>
      </c>
      <c r="I13" s="102"/>
    </row>
    <row r="14" spans="2:9" x14ac:dyDescent="0.3">
      <c r="B14" s="101" t="e" vm="13">
        <v>#VALUE!</v>
      </c>
      <c r="C14" s="102" t="s">
        <v>561</v>
      </c>
      <c r="D14" s="102"/>
      <c r="E14" s="103" t="s">
        <v>562</v>
      </c>
      <c r="F14" s="104">
        <v>15.65</v>
      </c>
      <c r="G14" s="102">
        <v>1</v>
      </c>
      <c r="H14" s="104">
        <f t="shared" si="0"/>
        <v>15.65</v>
      </c>
      <c r="I14" s="102"/>
    </row>
    <row r="15" spans="2:9" ht="72" x14ac:dyDescent="0.3">
      <c r="B15" s="105" t="e" vm="14">
        <v>#VALUE!</v>
      </c>
      <c r="C15" s="102" t="s">
        <v>563</v>
      </c>
      <c r="D15" s="102"/>
      <c r="E15" s="103" t="s">
        <v>564</v>
      </c>
      <c r="F15" s="104">
        <v>7.99</v>
      </c>
      <c r="G15" s="102">
        <v>1</v>
      </c>
      <c r="H15" s="104">
        <f t="shared" si="0"/>
        <v>7.99</v>
      </c>
      <c r="I15" s="102"/>
    </row>
    <row r="16" spans="2:9" ht="43.2" x14ac:dyDescent="0.3">
      <c r="B16" s="101" t="e" vm="15">
        <v>#VALUE!</v>
      </c>
      <c r="C16" s="102" t="s">
        <v>565</v>
      </c>
      <c r="D16" s="102"/>
      <c r="E16" s="103" t="s">
        <v>566</v>
      </c>
      <c r="F16" s="104">
        <v>19.39</v>
      </c>
      <c r="G16" s="102">
        <v>2</v>
      </c>
      <c r="H16" s="104">
        <f t="shared" si="0"/>
        <v>38.78</v>
      </c>
      <c r="I16" s="102"/>
    </row>
    <row r="17" spans="2:9" ht="43.2" x14ac:dyDescent="0.3">
      <c r="B17" s="101" t="e" vm="16">
        <v>#VALUE!</v>
      </c>
      <c r="C17" s="102" t="s">
        <v>582</v>
      </c>
      <c r="D17" s="102"/>
      <c r="E17" s="103" t="s">
        <v>567</v>
      </c>
      <c r="F17" s="104">
        <v>15.29</v>
      </c>
      <c r="G17" s="102">
        <v>1</v>
      </c>
      <c r="H17" s="104">
        <f t="shared" si="0"/>
        <v>15.29</v>
      </c>
      <c r="I17" s="102"/>
    </row>
    <row r="18" spans="2:9" ht="43.2" x14ac:dyDescent="0.3">
      <c r="B18" s="101" t="e" vm="17">
        <v>#VALUE!</v>
      </c>
      <c r="C18" s="102" t="s">
        <v>568</v>
      </c>
      <c r="D18" s="102"/>
      <c r="E18" s="103" t="s">
        <v>569</v>
      </c>
      <c r="F18" s="104">
        <v>6.99</v>
      </c>
      <c r="G18" s="102">
        <v>1</v>
      </c>
      <c r="H18" s="104">
        <f t="shared" si="0"/>
        <v>6.99</v>
      </c>
      <c r="I18" s="102"/>
    </row>
    <row r="19" spans="2:9" ht="43.2" x14ac:dyDescent="0.3">
      <c r="B19" s="101" t="e" vm="18">
        <v>#VALUE!</v>
      </c>
      <c r="C19" s="102" t="s">
        <v>570</v>
      </c>
      <c r="D19" s="102"/>
      <c r="E19" s="103" t="s">
        <v>571</v>
      </c>
      <c r="F19" s="104">
        <v>9.99</v>
      </c>
      <c r="G19" s="102">
        <v>1</v>
      </c>
      <c r="H19" s="104">
        <f t="shared" si="0"/>
        <v>9.99</v>
      </c>
      <c r="I19" s="102" t="s">
        <v>572</v>
      </c>
    </row>
    <row r="20" spans="2:9" ht="57.6" x14ac:dyDescent="0.3">
      <c r="B20" s="106" t="e" vm="19">
        <v>#VALUE!</v>
      </c>
      <c r="C20" s="107" t="s">
        <v>573</v>
      </c>
      <c r="D20" s="107"/>
      <c r="E20" s="108" t="s">
        <v>574</v>
      </c>
      <c r="F20" s="109">
        <v>25.49</v>
      </c>
      <c r="G20" s="107">
        <v>0</v>
      </c>
      <c r="H20" s="109">
        <f t="shared" si="0"/>
        <v>0</v>
      </c>
      <c r="I20" s="107"/>
    </row>
  </sheetData>
  <hyperlinks>
    <hyperlink ref="E2" r:id="rId1" xr:uid="{CE35E50A-2FB1-4A1C-BB30-6E060377A411}"/>
    <hyperlink ref="E3" r:id="rId2" xr:uid="{83DAD874-2391-4B37-B23D-FC40CF5A3B86}"/>
    <hyperlink ref="E4" r:id="rId3" xr:uid="{5953B495-E401-4F36-AD46-6299A4E865E7}"/>
    <hyperlink ref="E5" r:id="rId4" xr:uid="{2BB9839F-3C5B-4254-8D4E-5B5743798962}"/>
    <hyperlink ref="E6" r:id="rId5" xr:uid="{60E32513-0A16-439F-ADDF-9176FA90FCE4}"/>
    <hyperlink ref="E8" r:id="rId6" xr:uid="{5A6EE748-0B97-404E-86A7-86993BA75060}"/>
    <hyperlink ref="E10" r:id="rId7" xr:uid="{F03F4A90-7263-42C5-BBE6-9A6824D6384C}"/>
    <hyperlink ref="E12" r:id="rId8" xr:uid="{022A5275-5531-43E2-8110-A360A01803D5}"/>
    <hyperlink ref="E13" r:id="rId9" xr:uid="{6AC90496-BA57-4E90-A70F-40748E4C36DA}"/>
    <hyperlink ref="E14" r:id="rId10" xr:uid="{372EAF3E-D453-4120-BC92-1E40FB07F3C3}"/>
    <hyperlink ref="E15" r:id="rId11" xr:uid="{5CDA8659-1C3C-4BFF-81F0-A4C06ACF74E7}"/>
    <hyperlink ref="E7" r:id="rId12" xr:uid="{6F6A08DC-A7AD-4EA7-B580-0EEDB5AB029F}"/>
    <hyperlink ref="E9" r:id="rId13" xr:uid="{207CFDF1-8208-431F-A406-2F276306EB86}"/>
    <hyperlink ref="E11" r:id="rId14" xr:uid="{09FA6F46-247D-47F0-9A79-F2A70E26FD3D}"/>
    <hyperlink ref="E17" r:id="rId15" xr:uid="{B6D5CB69-6031-4607-8963-E43B2B853CE9}"/>
    <hyperlink ref="E16" r:id="rId16" xr:uid="{6F7DD438-4033-4C93-B780-6778A61BF999}"/>
    <hyperlink ref="E18" r:id="rId17" xr:uid="{60A60AF2-6E46-47B6-9D7E-47E8F44F210E}"/>
    <hyperlink ref="E20" r:id="rId18" xr:uid="{82FFAEA2-87FB-49D7-B8EE-C2F8AEF74290}"/>
  </hyperlinks>
  <pageMargins left="0.7" right="0.7" top="0.75" bottom="0.75" header="0.3" footer="0.3"/>
  <tableParts count="1">
    <tablePart r:id="rId1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A784-2DE1-4DC1-9524-BF8587A0157B}">
  <sheetPr codeName="Hoja3">
    <tabColor theme="5" tint="0.59999389629810485"/>
  </sheetPr>
  <dimension ref="D1:AF46"/>
  <sheetViews>
    <sheetView tabSelected="1" topLeftCell="D1" zoomScale="69" workbookViewId="0">
      <selection activeCell="G10" sqref="G10"/>
    </sheetView>
  </sheetViews>
  <sheetFormatPr baseColWidth="10" defaultColWidth="9.109375" defaultRowHeight="14.4" x14ac:dyDescent="0.3"/>
  <cols>
    <col min="4" max="4" width="38.6640625" customWidth="1"/>
    <col min="5" max="5" width="54.5546875" customWidth="1"/>
    <col min="6" max="6" width="18.5546875" customWidth="1"/>
    <col min="7" max="7" width="31.88671875" customWidth="1"/>
    <col min="8" max="8" width="20.44140625" hidden="1" customWidth="1"/>
    <col min="9" max="9" width="21.5546875" hidden="1" customWidth="1"/>
    <col min="10" max="12" width="17.109375" hidden="1" customWidth="1"/>
    <col min="13" max="13" width="7.6640625" customWidth="1"/>
    <col min="14" max="14" width="24.109375" customWidth="1"/>
    <col min="15" max="15" width="65.109375" customWidth="1"/>
    <col min="16" max="16" width="24.109375" customWidth="1"/>
    <col min="17" max="17" width="7.6640625" customWidth="1"/>
    <col min="18" max="18" width="35.6640625" customWidth="1"/>
    <col min="19" max="19" width="80.6640625" customWidth="1"/>
    <col min="20" max="20" width="35.6640625" customWidth="1"/>
    <col min="21" max="21" width="7.6640625" customWidth="1"/>
    <col min="22" max="22" width="16.21875" customWidth="1"/>
    <col min="23" max="23" width="22.77734375" customWidth="1"/>
    <col min="24" max="24" width="40.77734375" customWidth="1"/>
    <col min="25" max="26" width="35.77734375" customWidth="1"/>
    <col min="27" max="27" width="44.33203125" customWidth="1"/>
    <col min="29" max="29" width="23.44140625" bestFit="1" customWidth="1"/>
    <col min="30" max="30" width="50.44140625" customWidth="1"/>
    <col min="31" max="31" width="61.33203125" bestFit="1" customWidth="1"/>
    <col min="32" max="32" width="22.33203125" customWidth="1"/>
  </cols>
  <sheetData>
    <row r="1" spans="4:32" x14ac:dyDescent="0.3">
      <c r="D1" s="78" t="s">
        <v>586</v>
      </c>
    </row>
    <row r="2" spans="4:32" ht="21" x14ac:dyDescent="0.4">
      <c r="D2" s="67" t="s">
        <v>587</v>
      </c>
      <c r="H2" s="119" t="s">
        <v>738</v>
      </c>
      <c r="I2" s="119"/>
      <c r="J2" s="119"/>
      <c r="K2" s="119"/>
      <c r="L2" s="119"/>
      <c r="N2" s="118" t="s">
        <v>608</v>
      </c>
      <c r="O2" s="118"/>
      <c r="P2" s="118"/>
      <c r="R2" s="118" t="s">
        <v>659</v>
      </c>
      <c r="S2" s="118"/>
      <c r="T2" s="118"/>
      <c r="V2" s="118" t="s">
        <v>661</v>
      </c>
      <c r="W2" s="118"/>
      <c r="X2" s="118"/>
      <c r="Y2" s="118"/>
      <c r="Z2" s="118"/>
      <c r="AA2" s="118"/>
      <c r="AC2" s="118" t="s">
        <v>729</v>
      </c>
      <c r="AD2" s="118"/>
      <c r="AE2" s="118"/>
    </row>
    <row r="3" spans="4:32" x14ac:dyDescent="0.3">
      <c r="H3" s="112" t="s">
        <v>611</v>
      </c>
      <c r="I3" s="112" t="s">
        <v>722</v>
      </c>
      <c r="J3" s="112" t="s">
        <v>654</v>
      </c>
      <c r="K3" s="98" t="s">
        <v>686</v>
      </c>
      <c r="L3" s="98" t="s">
        <v>717</v>
      </c>
      <c r="N3" t="s">
        <v>609</v>
      </c>
      <c r="O3" t="s">
        <v>589</v>
      </c>
      <c r="P3" t="s">
        <v>657</v>
      </c>
      <c r="R3" t="s">
        <v>609</v>
      </c>
      <c r="S3" t="s">
        <v>589</v>
      </c>
      <c r="T3" t="s">
        <v>657</v>
      </c>
      <c r="V3" s="94" t="s">
        <v>82</v>
      </c>
      <c r="W3" s="94" t="s">
        <v>689</v>
      </c>
      <c r="X3" s="94" t="s">
        <v>585</v>
      </c>
      <c r="Y3" s="94" t="s">
        <v>597</v>
      </c>
      <c r="Z3" s="94" t="s">
        <v>598</v>
      </c>
      <c r="AA3" s="94" t="s">
        <v>759</v>
      </c>
      <c r="AB3" t="s">
        <v>692</v>
      </c>
      <c r="AC3" t="s">
        <v>716</v>
      </c>
      <c r="AD3" t="s">
        <v>720</v>
      </c>
      <c r="AE3" t="s">
        <v>721</v>
      </c>
      <c r="AF3" t="s">
        <v>746</v>
      </c>
    </row>
    <row r="4" spans="4:32" ht="40.049999999999997" customHeight="1" x14ac:dyDescent="0.3">
      <c r="D4" s="91" t="s">
        <v>590</v>
      </c>
      <c r="E4" s="117" t="s">
        <v>778</v>
      </c>
      <c r="H4" s="113" t="s">
        <v>615</v>
      </c>
      <c r="I4" s="113" t="s">
        <v>723</v>
      </c>
      <c r="J4" s="113" t="s">
        <v>655</v>
      </c>
      <c r="K4" s="99" t="s">
        <v>610</v>
      </c>
      <c r="L4" s="99" t="s">
        <v>718</v>
      </c>
      <c r="N4" t="s">
        <v>615</v>
      </c>
      <c r="O4" s="65" t="s">
        <v>622</v>
      </c>
      <c r="P4" t="s">
        <v>656</v>
      </c>
      <c r="R4" t="s">
        <v>615</v>
      </c>
      <c r="S4" s="65" t="s">
        <v>662</v>
      </c>
      <c r="T4" t="s">
        <v>777</v>
      </c>
      <c r="V4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FR-01</v>
      </c>
      <c r="W4" s="96" t="s">
        <v>610</v>
      </c>
      <c r="X4" s="97" t="s">
        <v>600</v>
      </c>
      <c r="Y4" s="97" t="s">
        <v>685</v>
      </c>
      <c r="Z4" s="97" t="s">
        <v>710</v>
      </c>
      <c r="AA4" s="97"/>
      <c r="AC4" s="110" t="s">
        <v>718</v>
      </c>
      <c r="AD4" s="6" t="s">
        <v>750</v>
      </c>
      <c r="AE4" s="95" t="s">
        <v>728</v>
      </c>
      <c r="AF4" s="114" t="b">
        <v>1</v>
      </c>
    </row>
    <row r="5" spans="4:32" ht="40.049999999999997" customHeight="1" x14ac:dyDescent="0.3">
      <c r="D5" s="122" t="s">
        <v>783</v>
      </c>
      <c r="E5" s="117" t="s">
        <v>779</v>
      </c>
      <c r="H5" s="111" t="s">
        <v>616</v>
      </c>
      <c r="I5" s="111" t="s">
        <v>724</v>
      </c>
      <c r="J5" s="111" t="s">
        <v>656</v>
      </c>
      <c r="K5" s="2" t="s">
        <v>687</v>
      </c>
      <c r="L5" s="2" t="s">
        <v>719</v>
      </c>
      <c r="N5" t="s">
        <v>615</v>
      </c>
      <c r="O5" s="65" t="s">
        <v>623</v>
      </c>
      <c r="P5" t="s">
        <v>777</v>
      </c>
      <c r="R5" t="s">
        <v>615</v>
      </c>
      <c r="S5" s="65" t="s">
        <v>663</v>
      </c>
      <c r="T5" t="s">
        <v>777</v>
      </c>
      <c r="V5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FR-02</v>
      </c>
      <c r="W5" s="96" t="s">
        <v>610</v>
      </c>
      <c r="X5" s="97" t="s">
        <v>601</v>
      </c>
      <c r="Y5" s="97" t="s">
        <v>693</v>
      </c>
      <c r="Z5" s="97" t="s">
        <v>694</v>
      </c>
      <c r="AA5" s="97"/>
      <c r="AC5" s="110" t="s">
        <v>719</v>
      </c>
      <c r="AD5" s="6" t="s">
        <v>784</v>
      </c>
      <c r="AE5" s="95" t="s">
        <v>728</v>
      </c>
      <c r="AF5" s="114" t="b">
        <v>0</v>
      </c>
    </row>
    <row r="6" spans="4:32" ht="40.049999999999997" customHeight="1" x14ac:dyDescent="0.3">
      <c r="D6" s="122"/>
      <c r="E6" s="117" t="s">
        <v>780</v>
      </c>
      <c r="H6" s="113" t="s">
        <v>617</v>
      </c>
      <c r="I6" s="113" t="s">
        <v>725</v>
      </c>
      <c r="J6" s="99" t="s">
        <v>777</v>
      </c>
      <c r="N6" t="s">
        <v>615</v>
      </c>
      <c r="O6" s="65" t="s">
        <v>624</v>
      </c>
      <c r="P6" t="s">
        <v>655</v>
      </c>
      <c r="R6" t="s">
        <v>616</v>
      </c>
      <c r="S6" s="65" t="s">
        <v>664</v>
      </c>
      <c r="T6" t="s">
        <v>777</v>
      </c>
      <c r="V6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FR-03</v>
      </c>
      <c r="W6" s="96" t="s">
        <v>610</v>
      </c>
      <c r="X6" s="97" t="s">
        <v>602</v>
      </c>
      <c r="Y6" s="97" t="s">
        <v>695</v>
      </c>
      <c r="Z6" s="97" t="s">
        <v>696</v>
      </c>
      <c r="AA6" s="97" t="s">
        <v>762</v>
      </c>
      <c r="AC6" s="110" t="s">
        <v>718</v>
      </c>
      <c r="AD6" s="6" t="s">
        <v>732</v>
      </c>
      <c r="AE6" s="95" t="s">
        <v>728</v>
      </c>
      <c r="AF6" s="114" t="b">
        <v>0</v>
      </c>
    </row>
    <row r="7" spans="4:32" ht="40.049999999999997" customHeight="1" x14ac:dyDescent="0.3">
      <c r="D7" s="122"/>
      <c r="E7" s="117" t="s">
        <v>781</v>
      </c>
      <c r="F7" s="116"/>
      <c r="H7" s="111" t="s">
        <v>618</v>
      </c>
      <c r="I7" s="2" t="s">
        <v>728</v>
      </c>
      <c r="N7" t="s">
        <v>615</v>
      </c>
      <c r="O7" s="65" t="s">
        <v>625</v>
      </c>
      <c r="P7" t="s">
        <v>656</v>
      </c>
      <c r="R7" t="s">
        <v>616</v>
      </c>
      <c r="S7" s="65" t="s">
        <v>665</v>
      </c>
      <c r="T7" t="s">
        <v>777</v>
      </c>
      <c r="V7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FR-04</v>
      </c>
      <c r="W7" s="96" t="s">
        <v>610</v>
      </c>
      <c r="X7" s="97" t="s">
        <v>697</v>
      </c>
      <c r="Y7" s="97" t="s">
        <v>698</v>
      </c>
      <c r="Z7" s="97" t="s">
        <v>699</v>
      </c>
      <c r="AA7" s="97"/>
      <c r="AC7" s="110" t="s">
        <v>719</v>
      </c>
      <c r="AD7" s="6" t="s">
        <v>734</v>
      </c>
      <c r="AE7" s="95" t="s">
        <v>728</v>
      </c>
      <c r="AF7" s="114" t="b">
        <v>0</v>
      </c>
    </row>
    <row r="8" spans="4:32" ht="40.049999999999997" customHeight="1" x14ac:dyDescent="0.3">
      <c r="D8" s="122"/>
      <c r="E8" s="117" t="s">
        <v>782</v>
      </c>
      <c r="H8" s="99" t="s">
        <v>619</v>
      </c>
      <c r="N8" t="s">
        <v>615</v>
      </c>
      <c r="O8" s="65" t="s">
        <v>626</v>
      </c>
      <c r="P8" t="s">
        <v>777</v>
      </c>
      <c r="R8" t="s">
        <v>617</v>
      </c>
      <c r="S8" s="65" t="s">
        <v>666</v>
      </c>
      <c r="T8" t="s">
        <v>777</v>
      </c>
      <c r="V8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FR-05</v>
      </c>
      <c r="W8" s="96" t="s">
        <v>610</v>
      </c>
      <c r="X8" s="97" t="s">
        <v>760</v>
      </c>
      <c r="Y8" s="97" t="s">
        <v>761</v>
      </c>
      <c r="Z8" s="97" t="s">
        <v>694</v>
      </c>
      <c r="AA8" s="97"/>
      <c r="AC8" s="110" t="s">
        <v>718</v>
      </c>
      <c r="AD8" s="6" t="s">
        <v>741</v>
      </c>
      <c r="AE8" s="95" t="s">
        <v>728</v>
      </c>
      <c r="AF8" s="114" t="b">
        <v>0</v>
      </c>
    </row>
    <row r="9" spans="4:32" ht="40.049999999999997" customHeight="1" x14ac:dyDescent="0.3">
      <c r="D9" s="91" t="s">
        <v>596</v>
      </c>
      <c r="E9" s="117" t="s">
        <v>57</v>
      </c>
      <c r="N9" t="s">
        <v>615</v>
      </c>
      <c r="O9" s="65" t="s">
        <v>627</v>
      </c>
      <c r="P9" t="s">
        <v>656</v>
      </c>
      <c r="R9" t="s">
        <v>618</v>
      </c>
      <c r="S9" s="65" t="s">
        <v>668</v>
      </c>
      <c r="T9" t="s">
        <v>777</v>
      </c>
      <c r="V9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FR-06</v>
      </c>
      <c r="W9" s="96" t="s">
        <v>610</v>
      </c>
      <c r="X9" s="97" t="s">
        <v>603</v>
      </c>
      <c r="Y9" s="97" t="s">
        <v>688</v>
      </c>
      <c r="Z9" s="97" t="s">
        <v>700</v>
      </c>
      <c r="AA9" s="97" t="s">
        <v>763</v>
      </c>
      <c r="AB9" s="115"/>
      <c r="AC9" s="110" t="s">
        <v>718</v>
      </c>
      <c r="AD9" s="6" t="s">
        <v>744</v>
      </c>
      <c r="AE9" s="95" t="s">
        <v>728</v>
      </c>
      <c r="AF9" s="114" t="b">
        <v>0</v>
      </c>
    </row>
    <row r="10" spans="4:32" ht="40.049999999999997" customHeight="1" x14ac:dyDescent="0.3">
      <c r="N10" t="s">
        <v>615</v>
      </c>
      <c r="O10" s="65" t="s">
        <v>628</v>
      </c>
      <c r="P10" t="s">
        <v>656</v>
      </c>
      <c r="R10" t="s">
        <v>618</v>
      </c>
      <c r="S10" s="65" t="s">
        <v>669</v>
      </c>
      <c r="T10" t="s">
        <v>777</v>
      </c>
      <c r="V10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FR-07</v>
      </c>
      <c r="W10" s="96" t="s">
        <v>610</v>
      </c>
      <c r="X10" s="97" t="s">
        <v>604</v>
      </c>
      <c r="Y10" s="97" t="s">
        <v>701</v>
      </c>
      <c r="Z10" s="97" t="s">
        <v>702</v>
      </c>
      <c r="AA10" s="97" t="s">
        <v>765</v>
      </c>
    </row>
    <row r="11" spans="4:32" ht="40.049999999999997" customHeight="1" x14ac:dyDescent="0.35">
      <c r="D11" s="123" t="s">
        <v>588</v>
      </c>
      <c r="E11" s="123"/>
      <c r="F11" s="123"/>
      <c r="G11" s="65"/>
      <c r="N11" t="s">
        <v>615</v>
      </c>
      <c r="O11" s="65" t="s">
        <v>629</v>
      </c>
      <c r="P11" t="s">
        <v>777</v>
      </c>
      <c r="V11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FR-08</v>
      </c>
      <c r="W11" s="96" t="s">
        <v>610</v>
      </c>
      <c r="X11" s="97" t="s">
        <v>605</v>
      </c>
      <c r="Y11" s="97" t="s">
        <v>703</v>
      </c>
      <c r="Z11" s="97" t="s">
        <v>704</v>
      </c>
      <c r="AA11" s="97" t="s">
        <v>767</v>
      </c>
      <c r="AC11" s="118" t="s">
        <v>684</v>
      </c>
      <c r="AD11" s="118"/>
      <c r="AE11" s="118"/>
    </row>
    <row r="12" spans="4:32" ht="40.049999999999997" customHeight="1" x14ac:dyDescent="0.35">
      <c r="D12" s="65"/>
      <c r="E12" s="65"/>
      <c r="F12" s="65"/>
      <c r="N12" t="s">
        <v>617</v>
      </c>
      <c r="O12" s="65" t="s">
        <v>637</v>
      </c>
      <c r="P12" t="s">
        <v>777</v>
      </c>
      <c r="R12" s="118" t="s">
        <v>660</v>
      </c>
      <c r="S12" s="118"/>
      <c r="T12" s="118"/>
      <c r="V12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FR-09</v>
      </c>
      <c r="W12" s="96" t="s">
        <v>610</v>
      </c>
      <c r="X12" s="97" t="s">
        <v>606</v>
      </c>
      <c r="Y12" s="97" t="s">
        <v>705</v>
      </c>
      <c r="Z12" s="97" t="s">
        <v>706</v>
      </c>
      <c r="AA12" s="97"/>
      <c r="AC12" s="95" t="s">
        <v>82</v>
      </c>
      <c r="AD12" s="93" t="s">
        <v>691</v>
      </c>
      <c r="AE12" s="93" t="s">
        <v>667</v>
      </c>
    </row>
    <row r="13" spans="4:32" ht="40.049999999999997" customHeight="1" x14ac:dyDescent="0.3">
      <c r="N13" t="s">
        <v>617</v>
      </c>
      <c r="O13" s="65" t="s">
        <v>638</v>
      </c>
      <c r="P13" t="s">
        <v>777</v>
      </c>
      <c r="R13" t="s">
        <v>609</v>
      </c>
      <c r="S13" t="s">
        <v>589</v>
      </c>
      <c r="T13" t="s">
        <v>657</v>
      </c>
      <c r="V13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FR-10</v>
      </c>
      <c r="W13" s="96" t="s">
        <v>610</v>
      </c>
      <c r="X13" s="97" t="s">
        <v>708</v>
      </c>
      <c r="Y13" s="97" t="s">
        <v>709</v>
      </c>
      <c r="Z13" s="97" t="s">
        <v>710</v>
      </c>
      <c r="AA13" s="97" t="s">
        <v>768</v>
      </c>
      <c r="AC13" s="95" t="str">
        <f>"CONST-"&amp;TEXT(ROW()-ROW(INDEX(Tabla79[ID],1))+1,"00")</f>
        <v>CONST-01</v>
      </c>
      <c r="AD13" s="95" t="s">
        <v>617</v>
      </c>
      <c r="AE13" s="6" t="s">
        <v>630</v>
      </c>
    </row>
    <row r="14" spans="4:32" ht="40.049999999999997" customHeight="1" x14ac:dyDescent="0.3">
      <c r="N14" t="s">
        <v>617</v>
      </c>
      <c r="O14" s="65" t="s">
        <v>639</v>
      </c>
      <c r="P14" t="s">
        <v>777</v>
      </c>
      <c r="R14" t="s">
        <v>615</v>
      </c>
      <c r="S14" s="65" t="s">
        <v>670</v>
      </c>
      <c r="T14" t="s">
        <v>777</v>
      </c>
      <c r="V14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FR-11</v>
      </c>
      <c r="W14" s="96" t="s">
        <v>610</v>
      </c>
      <c r="X14" s="97" t="s">
        <v>711</v>
      </c>
      <c r="Y14" s="97" t="s">
        <v>712</v>
      </c>
      <c r="Z14" s="97" t="s">
        <v>713</v>
      </c>
      <c r="AA14" s="97"/>
      <c r="AC14" s="95" t="str">
        <f>"CONST-"&amp;TEXT(ROW()-ROW(INDEX(Tabla79[ID],1))+1,"00")</f>
        <v>CONST-02</v>
      </c>
      <c r="AD14" s="95" t="s">
        <v>617</v>
      </c>
      <c r="AE14" s="6" t="s">
        <v>631</v>
      </c>
    </row>
    <row r="15" spans="4:32" ht="40.049999999999997" customHeight="1" x14ac:dyDescent="0.3">
      <c r="N15" t="s">
        <v>617</v>
      </c>
      <c r="O15" s="65" t="s">
        <v>640</v>
      </c>
      <c r="P15" t="s">
        <v>777</v>
      </c>
      <c r="R15" t="s">
        <v>615</v>
      </c>
      <c r="S15" s="65" t="s">
        <v>671</v>
      </c>
      <c r="T15" t="s">
        <v>777</v>
      </c>
      <c r="V15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FR-12</v>
      </c>
      <c r="W15" s="96" t="s">
        <v>610</v>
      </c>
      <c r="X15" s="97" t="s">
        <v>607</v>
      </c>
      <c r="Y15" s="97" t="s">
        <v>714</v>
      </c>
      <c r="Z15" s="97" t="s">
        <v>715</v>
      </c>
      <c r="AA15" s="97" t="s">
        <v>770</v>
      </c>
      <c r="AC15" s="95" t="str">
        <f>"CONST-"&amp;TEXT(ROW()-ROW(INDEX(Tabla79[ID],1))+1,"00")</f>
        <v>CONST-03</v>
      </c>
      <c r="AD15" s="95" t="s">
        <v>617</v>
      </c>
      <c r="AE15" s="6" t="s">
        <v>632</v>
      </c>
    </row>
    <row r="16" spans="4:32" ht="40.049999999999997" customHeight="1" x14ac:dyDescent="0.3">
      <c r="N16" t="s">
        <v>617</v>
      </c>
      <c r="O16" s="65" t="s">
        <v>641</v>
      </c>
      <c r="P16" t="s">
        <v>777</v>
      </c>
      <c r="R16" t="s">
        <v>616</v>
      </c>
      <c r="S16" s="65" t="s">
        <v>672</v>
      </c>
      <c r="T16" t="s">
        <v>777</v>
      </c>
      <c r="V16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FR-13</v>
      </c>
      <c r="W16" s="96" t="s">
        <v>610</v>
      </c>
      <c r="X16" s="97" t="s">
        <v>726</v>
      </c>
      <c r="Y16" s="97" t="s">
        <v>727</v>
      </c>
      <c r="Z16" s="97" t="s">
        <v>706</v>
      </c>
      <c r="AA16" s="97" t="s">
        <v>771</v>
      </c>
      <c r="AC16" s="95" t="str">
        <f>"CONST-"&amp;TEXT(ROW()-ROW(INDEX(Tabla79[ID],1))+1,"00")</f>
        <v>CONST-04</v>
      </c>
      <c r="AD16" s="95" t="s">
        <v>617</v>
      </c>
      <c r="AE16" s="6" t="s">
        <v>633</v>
      </c>
    </row>
    <row r="17" spans="4:31" ht="40.049999999999997" customHeight="1" x14ac:dyDescent="0.3">
      <c r="N17" s="6" t="s">
        <v>616</v>
      </c>
      <c r="O17" s="65" t="s">
        <v>642</v>
      </c>
      <c r="P17" t="s">
        <v>777</v>
      </c>
      <c r="R17" t="s">
        <v>617</v>
      </c>
      <c r="S17" s="65" t="s">
        <v>682</v>
      </c>
      <c r="T17" t="s">
        <v>777</v>
      </c>
      <c r="V17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FR-14</v>
      </c>
      <c r="W17" s="96" t="s">
        <v>610</v>
      </c>
      <c r="X17" s="97" t="s">
        <v>730</v>
      </c>
      <c r="Y17" s="97" t="s">
        <v>731</v>
      </c>
      <c r="Z17" s="97" t="s">
        <v>733</v>
      </c>
      <c r="AA17" s="97" t="s">
        <v>773</v>
      </c>
      <c r="AC17" s="95" t="str">
        <f>"CONST-"&amp;TEXT(ROW()-ROW(INDEX(Tabla79[ID],1))+1,"00")</f>
        <v>CONST-05</v>
      </c>
      <c r="AD17" s="95" t="s">
        <v>617</v>
      </c>
      <c r="AE17" s="6" t="s">
        <v>634</v>
      </c>
    </row>
    <row r="18" spans="4:31" ht="40.049999999999997" customHeight="1" x14ac:dyDescent="0.3">
      <c r="N18" s="6" t="s">
        <v>616</v>
      </c>
      <c r="O18" s="65" t="s">
        <v>643</v>
      </c>
      <c r="P18" t="s">
        <v>777</v>
      </c>
      <c r="R18" t="s">
        <v>617</v>
      </c>
      <c r="S18" s="65" t="s">
        <v>683</v>
      </c>
      <c r="T18" t="s">
        <v>777</v>
      </c>
      <c r="V18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OR-01</v>
      </c>
      <c r="W18" s="96" t="s">
        <v>687</v>
      </c>
      <c r="X18" s="97" t="s">
        <v>612</v>
      </c>
      <c r="Y18" s="97" t="s">
        <v>735</v>
      </c>
      <c r="Z18" s="97" t="s">
        <v>736</v>
      </c>
      <c r="AA18" s="97" t="s">
        <v>764</v>
      </c>
      <c r="AC18" s="95" t="str">
        <f>"CONST-"&amp;TEXT(ROW()-ROW(INDEX(Tabla79[ID],1))+1,"00")</f>
        <v>CONST-06</v>
      </c>
      <c r="AD18" s="95" t="s">
        <v>617</v>
      </c>
      <c r="AE18" s="6" t="s">
        <v>635</v>
      </c>
    </row>
    <row r="19" spans="4:31" ht="40.049999999999997" customHeight="1" x14ac:dyDescent="0.3">
      <c r="N19" s="6" t="s">
        <v>616</v>
      </c>
      <c r="O19" s="65" t="s">
        <v>644</v>
      </c>
      <c r="P19" t="s">
        <v>777</v>
      </c>
      <c r="R19" t="s">
        <v>618</v>
      </c>
      <c r="S19" s="65" t="s">
        <v>681</v>
      </c>
      <c r="T19" t="s">
        <v>777</v>
      </c>
      <c r="V19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OR-02</v>
      </c>
      <c r="W19" s="96" t="s">
        <v>687</v>
      </c>
      <c r="X19" s="97" t="s">
        <v>613</v>
      </c>
      <c r="Y19" s="97" t="s">
        <v>737</v>
      </c>
      <c r="Z19" s="97" t="s">
        <v>739</v>
      </c>
      <c r="AA19" s="97" t="s">
        <v>766</v>
      </c>
      <c r="AC19" s="95" t="str">
        <f>"CONST-"&amp;TEXT(ROW()-ROW(INDEX(Tabla79[ID],1))+1,"00")</f>
        <v>CONST-07</v>
      </c>
      <c r="AD19" s="95" t="s">
        <v>617</v>
      </c>
      <c r="AE19" s="6" t="s">
        <v>636</v>
      </c>
    </row>
    <row r="20" spans="4:31" ht="40.049999999999997" customHeight="1" x14ac:dyDescent="0.3">
      <c r="N20" s="6" t="s">
        <v>616</v>
      </c>
      <c r="O20" s="65" t="s">
        <v>645</v>
      </c>
      <c r="P20" t="s">
        <v>777</v>
      </c>
      <c r="V20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OR-03</v>
      </c>
      <c r="W20" s="96" t="s">
        <v>687</v>
      </c>
      <c r="X20" s="97" t="s">
        <v>614</v>
      </c>
      <c r="Y20" s="97" t="s">
        <v>740</v>
      </c>
      <c r="Z20" s="97" t="s">
        <v>742</v>
      </c>
      <c r="AA20" s="97" t="s">
        <v>769</v>
      </c>
      <c r="AC20" s="95" t="str">
        <f>"CONST-"&amp;TEXT(ROW()-ROW(INDEX(Tabla79[ID],1))+1,"00")</f>
        <v>CONST-08</v>
      </c>
      <c r="AD20" s="95" t="s">
        <v>618</v>
      </c>
      <c r="AE20" s="6" t="s">
        <v>673</v>
      </c>
    </row>
    <row r="21" spans="4:31" ht="40.049999999999997" customHeight="1" x14ac:dyDescent="0.3">
      <c r="N21" t="s">
        <v>618</v>
      </c>
      <c r="O21" s="65" t="s">
        <v>646</v>
      </c>
      <c r="P21" t="s">
        <v>656</v>
      </c>
      <c r="V21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OR-04</v>
      </c>
      <c r="W21" s="96" t="s">
        <v>687</v>
      </c>
      <c r="X21" s="97" t="s">
        <v>774</v>
      </c>
      <c r="Y21" s="97" t="s">
        <v>743</v>
      </c>
      <c r="Z21" s="97" t="s">
        <v>736</v>
      </c>
      <c r="AA21" s="97"/>
      <c r="AC21" s="95" t="str">
        <f>"CONST-"&amp;TEXT(ROW()-ROW(INDEX(Tabla79[ID],1))+1,"00")</f>
        <v>CONST-09</v>
      </c>
      <c r="AD21" s="95" t="s">
        <v>618</v>
      </c>
      <c r="AE21" s="6" t="s">
        <v>674</v>
      </c>
    </row>
    <row r="22" spans="4:31" ht="40.049999999999997" customHeight="1" x14ac:dyDescent="0.3">
      <c r="N22" t="s">
        <v>618</v>
      </c>
      <c r="O22" s="65" t="s">
        <v>658</v>
      </c>
      <c r="P22" t="s">
        <v>655</v>
      </c>
      <c r="V22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OR-05</v>
      </c>
      <c r="W22" s="96" t="s">
        <v>687</v>
      </c>
      <c r="X22" s="97" t="s">
        <v>747</v>
      </c>
      <c r="Y22" s="97" t="s">
        <v>748</v>
      </c>
      <c r="Z22" s="97" t="s">
        <v>745</v>
      </c>
      <c r="AA22" s="97" t="s">
        <v>772</v>
      </c>
      <c r="AC22" s="95" t="str">
        <f>"CONST-"&amp;TEXT(ROW()-ROW(INDEX(Tabla79[ID],1))+1,"00")</f>
        <v>CONST-10</v>
      </c>
      <c r="AD22" s="95" t="s">
        <v>618</v>
      </c>
      <c r="AE22" s="6" t="s">
        <v>675</v>
      </c>
    </row>
    <row r="23" spans="4:31" ht="40.049999999999997" customHeight="1" x14ac:dyDescent="0.3">
      <c r="N23" t="s">
        <v>618</v>
      </c>
      <c r="O23" s="65" t="s">
        <v>647</v>
      </c>
      <c r="P23" t="s">
        <v>777</v>
      </c>
      <c r="V23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OR-06</v>
      </c>
      <c r="W23" s="96" t="s">
        <v>687</v>
      </c>
      <c r="X23" s="97" t="s">
        <v>620</v>
      </c>
      <c r="Y23" s="97" t="s">
        <v>749</v>
      </c>
      <c r="Z23" s="97" t="s">
        <v>751</v>
      </c>
      <c r="AA23" s="97"/>
      <c r="AC23" s="95" t="str">
        <f>"CONST-"&amp;TEXT(ROW()-ROW(INDEX(Tabla79[ID],1))+1,"00")</f>
        <v>CONST-11</v>
      </c>
      <c r="AD23" s="95" t="s">
        <v>619</v>
      </c>
      <c r="AE23" s="6" t="s">
        <v>676</v>
      </c>
    </row>
    <row r="24" spans="4:31" ht="40.049999999999997" customHeight="1" x14ac:dyDescent="0.3">
      <c r="D24" s="1"/>
      <c r="N24" t="s">
        <v>618</v>
      </c>
      <c r="O24" s="65" t="s">
        <v>648</v>
      </c>
      <c r="P24" t="s">
        <v>656</v>
      </c>
      <c r="V24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OR-07</v>
      </c>
      <c r="W24" s="96" t="s">
        <v>687</v>
      </c>
      <c r="X24" s="97" t="s">
        <v>621</v>
      </c>
      <c r="Y24" s="97" t="s">
        <v>752</v>
      </c>
      <c r="Z24" s="97" t="s">
        <v>753</v>
      </c>
      <c r="AA24" s="97" t="s">
        <v>776</v>
      </c>
      <c r="AC24" s="95" t="str">
        <f>"CONST-"&amp;TEXT(ROW()-ROW(INDEX(Tabla79[ID],1))+1,"00")</f>
        <v>CONST-12</v>
      </c>
      <c r="AD24" s="95" t="s">
        <v>618</v>
      </c>
      <c r="AE24" s="6" t="s">
        <v>677</v>
      </c>
    </row>
    <row r="25" spans="4:31" ht="40.049999999999997" customHeight="1" x14ac:dyDescent="0.3">
      <c r="N25" t="s">
        <v>618</v>
      </c>
      <c r="O25" s="65" t="s">
        <v>649</v>
      </c>
      <c r="P25" t="s">
        <v>656</v>
      </c>
      <c r="V25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OR-08</v>
      </c>
      <c r="W25" s="96" t="s">
        <v>687</v>
      </c>
      <c r="X25" s="97" t="s">
        <v>754</v>
      </c>
      <c r="Y25" s="97" t="s">
        <v>755</v>
      </c>
      <c r="Z25" s="97" t="s">
        <v>733</v>
      </c>
      <c r="AA25" s="97" t="s">
        <v>775</v>
      </c>
      <c r="AC25" s="95" t="str">
        <f>"CONST-"&amp;TEXT(ROW()-ROW(INDEX(Tabla79[ID],1))+1,"00")</f>
        <v>CONST-13</v>
      </c>
      <c r="AD25" s="95" t="s">
        <v>619</v>
      </c>
      <c r="AE25" s="6" t="s">
        <v>678</v>
      </c>
    </row>
    <row r="26" spans="4:31" ht="30" customHeight="1" x14ac:dyDescent="0.3">
      <c r="N26" t="s">
        <v>619</v>
      </c>
      <c r="O26" s="65" t="s">
        <v>650</v>
      </c>
      <c r="P26" t="s">
        <v>777</v>
      </c>
      <c r="V26" s="95" t="str">
        <f>IF(Table2[[#This Row],[Requirement Type]]="Functional",
   "FR-"&amp;TEXT(COUNTIF(INDEX(Table2[Requirement Type],1):Table2[[#This Row],[Requirement Type]],"Functional"),"00"),
   IF(Table2[[#This Row],[Requirement Type]]="Operational",
      "OR-"&amp;TEXT(COUNTIF(INDEX(Table2[Requirement Type],1):Table2[[#This Row],[Requirement Type]],"Operational"),"00"),
      ""
   )
)</f>
        <v>OR-09</v>
      </c>
      <c r="W26" s="96" t="s">
        <v>687</v>
      </c>
      <c r="X26" s="97" t="s">
        <v>756</v>
      </c>
      <c r="Y26" s="97" t="s">
        <v>757</v>
      </c>
      <c r="Z26" s="97" t="s">
        <v>758</v>
      </c>
      <c r="AA26" s="97"/>
      <c r="AC26" s="95" t="str">
        <f>"CONST-"&amp;TEXT(ROW()-ROW(INDEX(Tabla79[ID],1))+1,"00")</f>
        <v>CONST-14</v>
      </c>
      <c r="AD26" s="95" t="s">
        <v>615</v>
      </c>
      <c r="AE26" s="6" t="s">
        <v>679</v>
      </c>
    </row>
    <row r="27" spans="4:31" ht="30" customHeight="1" x14ac:dyDescent="0.3">
      <c r="E27" s="65"/>
      <c r="N27" t="s">
        <v>619</v>
      </c>
      <c r="O27" s="65" t="s">
        <v>651</v>
      </c>
      <c r="P27" t="s">
        <v>777</v>
      </c>
      <c r="AC27" s="95" t="str">
        <f>"CONST-"&amp;TEXT(ROW()-ROW(INDEX(Tabla79[ID],1))+1,"00")</f>
        <v>CONST-15</v>
      </c>
      <c r="AD27" s="95" t="s">
        <v>615</v>
      </c>
      <c r="AE27" s="6" t="s">
        <v>680</v>
      </c>
    </row>
    <row r="28" spans="4:31" ht="30" customHeight="1" x14ac:dyDescent="0.3">
      <c r="E28" s="65"/>
      <c r="N28" t="s">
        <v>619</v>
      </c>
      <c r="O28" s="65" t="s">
        <v>652</v>
      </c>
      <c r="P28" t="s">
        <v>777</v>
      </c>
      <c r="AC28" s="95" t="str">
        <f>"CONST-"&amp;TEXT(ROW()-ROW(INDEX(Tabla79[ID],1))+1,"00")</f>
        <v>CONST-16</v>
      </c>
      <c r="AD28" s="95" t="s">
        <v>615</v>
      </c>
      <c r="AE28" s="6" t="s">
        <v>690</v>
      </c>
    </row>
    <row r="29" spans="4:31" ht="30" customHeight="1" x14ac:dyDescent="0.3">
      <c r="E29" s="65"/>
      <c r="N29" t="s">
        <v>619</v>
      </c>
      <c r="O29" s="65" t="s">
        <v>653</v>
      </c>
      <c r="P29" t="s">
        <v>777</v>
      </c>
    </row>
    <row r="39" spans="4:7" x14ac:dyDescent="0.3">
      <c r="D39" s="120"/>
      <c r="E39" s="121"/>
      <c r="F39" s="121"/>
    </row>
    <row r="40" spans="4:7" x14ac:dyDescent="0.3">
      <c r="D40" s="10"/>
      <c r="E40" s="10"/>
      <c r="F40" s="10"/>
    </row>
    <row r="41" spans="4:7" x14ac:dyDescent="0.3">
      <c r="D41" s="10"/>
      <c r="E41" s="10"/>
      <c r="F41" s="10"/>
    </row>
    <row r="42" spans="4:7" x14ac:dyDescent="0.3">
      <c r="D42" s="10"/>
      <c r="E42" s="10"/>
      <c r="F42" s="10"/>
    </row>
    <row r="43" spans="4:7" x14ac:dyDescent="0.3">
      <c r="D43" s="10"/>
      <c r="E43" s="10"/>
      <c r="F43" s="10"/>
    </row>
    <row r="44" spans="4:7" x14ac:dyDescent="0.3">
      <c r="D44" s="10"/>
      <c r="E44" s="10"/>
      <c r="F44" s="10"/>
    </row>
    <row r="45" spans="4:7" x14ac:dyDescent="0.3">
      <c r="D45" s="10"/>
      <c r="E45" s="10"/>
      <c r="F45" s="10"/>
    </row>
    <row r="46" spans="4:7" x14ac:dyDescent="0.3">
      <c r="D46" s="1"/>
      <c r="E46" s="1"/>
      <c r="F46" s="1"/>
      <c r="G46" s="1"/>
    </row>
  </sheetData>
  <mergeCells count="10">
    <mergeCell ref="AC2:AE2"/>
    <mergeCell ref="H2:L2"/>
    <mergeCell ref="AC11:AE11"/>
    <mergeCell ref="V2:AA2"/>
    <mergeCell ref="D39:F39"/>
    <mergeCell ref="D5:D8"/>
    <mergeCell ref="N2:P2"/>
    <mergeCell ref="R2:T2"/>
    <mergeCell ref="R12:T12"/>
    <mergeCell ref="D11:F11"/>
  </mergeCells>
  <dataValidations count="5">
    <dataValidation type="list" allowBlank="1" showInputMessage="1" showErrorMessage="1" sqref="D27:D29 R14:R19 R4:R10 N4:N29 AD13:AD28" xr:uid="{0C0A00AC-9C27-4FCE-A286-083F7EBC6AA3}">
      <formula1>$H$4:$H$8</formula1>
    </dataValidation>
    <dataValidation type="list" allowBlank="1" showInputMessage="1" showErrorMessage="1" sqref="F27:F29 T14:T19 T4:T10 P4:P29" xr:uid="{3D7166F4-693C-4762-AF2A-232C5C40669C}">
      <formula1>$J$4:$J$6</formula1>
    </dataValidation>
    <dataValidation type="list" allowBlank="1" showInputMessage="1" showErrorMessage="1" sqref="W4:W26" xr:uid="{8F792CA3-7DD6-4E90-8717-83A836F595CE}">
      <formula1>$K$4:$K$5</formula1>
    </dataValidation>
    <dataValidation type="list" allowBlank="1" showInputMessage="1" showErrorMessage="1" sqref="AE4:AE9" xr:uid="{C37A8E93-BE16-4EED-A9C4-689863448887}">
      <formula1>$I$4:$I$7</formula1>
    </dataValidation>
    <dataValidation type="list" allowBlank="1" showInputMessage="1" showErrorMessage="1" sqref="AC4:AC8 AB9" xr:uid="{1AF50C5F-DC68-4441-8976-8D550666B41A}">
      <formula1>$L$4:$L$5</formula1>
    </dataValidation>
  </dataValidations>
  <pageMargins left="0.7" right="0.7" top="0.75" bottom="0.75" header="0.3" footer="0.3"/>
  <pageSetup orientation="portrait" r:id="rId1"/>
  <drawing r:id="rId2"/>
  <tableParts count="6">
    <tablePart r:id="rId3"/>
    <tablePart r:id="rId4"/>
    <tablePart r:id="rId5"/>
    <tablePart r:id="rId6"/>
    <tablePart r:id="rId7"/>
    <tablePart r:id="rId8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CDE09-30AE-4E8E-9F16-8BB38E50ED37}">
  <sheetPr codeName="Hoja4">
    <tabColor theme="5" tint="0.39997558519241921"/>
  </sheetPr>
  <dimension ref="A1:F26"/>
  <sheetViews>
    <sheetView topLeftCell="D1" workbookViewId="0">
      <selection activeCell="B1" sqref="B1"/>
    </sheetView>
  </sheetViews>
  <sheetFormatPr baseColWidth="10" defaultColWidth="9.109375" defaultRowHeight="14.4" x14ac:dyDescent="0.3"/>
  <cols>
    <col min="1" max="1" width="5.88671875" bestFit="1" customWidth="1"/>
    <col min="2" max="2" width="32.5546875" customWidth="1"/>
    <col min="3" max="3" width="47.88671875" customWidth="1"/>
    <col min="4" max="4" width="40.33203125" customWidth="1"/>
    <col min="5" max="5" width="40.88671875" customWidth="1"/>
    <col min="6" max="6" width="24.88671875" customWidth="1"/>
    <col min="7" max="7" width="21.44140625" customWidth="1"/>
    <col min="8" max="8" width="20.33203125" customWidth="1"/>
  </cols>
  <sheetData>
    <row r="1" spans="2:5" ht="15.75" customHeight="1" x14ac:dyDescent="0.3">
      <c r="B1" s="78" t="s">
        <v>0</v>
      </c>
    </row>
    <row r="2" spans="2:5" ht="21" x14ac:dyDescent="0.4">
      <c r="B2" s="67" t="s">
        <v>62</v>
      </c>
    </row>
    <row r="3" spans="2:5" ht="43.2" x14ac:dyDescent="0.3">
      <c r="B3" s="91" t="s">
        <v>590</v>
      </c>
      <c r="C3" s="86" t="s">
        <v>591</v>
      </c>
    </row>
    <row r="4" spans="2:5" x14ac:dyDescent="0.3">
      <c r="B4" s="122" t="s">
        <v>783</v>
      </c>
      <c r="C4" s="92" t="s">
        <v>592</v>
      </c>
    </row>
    <row r="5" spans="2:5" x14ac:dyDescent="0.3">
      <c r="B5" s="122"/>
      <c r="C5" s="92" t="s">
        <v>593</v>
      </c>
    </row>
    <row r="6" spans="2:5" x14ac:dyDescent="0.3">
      <c r="B6" s="122"/>
      <c r="C6" s="92" t="s">
        <v>594</v>
      </c>
    </row>
    <row r="7" spans="2:5" ht="28.8" x14ac:dyDescent="0.3">
      <c r="B7" s="122"/>
      <c r="C7" s="92" t="s">
        <v>595</v>
      </c>
    </row>
    <row r="8" spans="2:5" x14ac:dyDescent="0.3">
      <c r="B8" s="91" t="s">
        <v>596</v>
      </c>
      <c r="C8" s="71" t="s">
        <v>63</v>
      </c>
      <c r="D8" s="65"/>
    </row>
    <row r="10" spans="2:5" x14ac:dyDescent="0.3">
      <c r="B10" s="1" t="s">
        <v>599</v>
      </c>
    </row>
    <row r="11" spans="2:5" x14ac:dyDescent="0.3">
      <c r="B11" s="1"/>
    </row>
    <row r="12" spans="2:5" x14ac:dyDescent="0.3">
      <c r="B12" s="1" t="s">
        <v>64</v>
      </c>
      <c r="C12" s="1"/>
      <c r="D12" s="1"/>
      <c r="E12" s="1"/>
    </row>
    <row r="13" spans="2:5" x14ac:dyDescent="0.3">
      <c r="B13" s="13" t="s">
        <v>58</v>
      </c>
      <c r="C13" s="9" t="s">
        <v>59</v>
      </c>
      <c r="D13" s="9" t="s">
        <v>60</v>
      </c>
      <c r="E13" s="9" t="s">
        <v>61</v>
      </c>
    </row>
    <row r="14" spans="2:5" ht="69" x14ac:dyDescent="0.3">
      <c r="B14" s="14" t="s">
        <v>65</v>
      </c>
      <c r="C14" s="7" t="s">
        <v>66</v>
      </c>
      <c r="D14" s="7" t="s">
        <v>67</v>
      </c>
      <c r="E14" s="7" t="s">
        <v>68</v>
      </c>
    </row>
    <row r="15" spans="2:5" ht="41.4" x14ac:dyDescent="0.3">
      <c r="B15" s="14" t="s">
        <v>69</v>
      </c>
      <c r="C15" s="7" t="s">
        <v>70</v>
      </c>
      <c r="D15" s="7" t="s">
        <v>71</v>
      </c>
      <c r="E15" s="7" t="s">
        <v>72</v>
      </c>
    </row>
    <row r="16" spans="2:5" ht="55.2" x14ac:dyDescent="0.3">
      <c r="B16" s="14" t="s">
        <v>73</v>
      </c>
      <c r="C16" s="7" t="s">
        <v>74</v>
      </c>
      <c r="D16" s="7" t="s">
        <v>75</v>
      </c>
      <c r="E16" s="7" t="s">
        <v>76</v>
      </c>
    </row>
    <row r="17" spans="1:6" ht="41.4" x14ac:dyDescent="0.3">
      <c r="B17" s="14" t="s">
        <v>77</v>
      </c>
      <c r="C17" s="7" t="s">
        <v>78</v>
      </c>
      <c r="D17" s="7" t="s">
        <v>79</v>
      </c>
      <c r="E17" s="7" t="s">
        <v>80</v>
      </c>
    </row>
    <row r="21" spans="1:6" x14ac:dyDescent="0.3">
      <c r="A21" s="124" t="s">
        <v>81</v>
      </c>
      <c r="B21" s="124"/>
      <c r="C21" s="124"/>
      <c r="D21" s="124"/>
      <c r="E21" s="124"/>
      <c r="F21" s="124"/>
    </row>
    <row r="22" spans="1:6" x14ac:dyDescent="0.3">
      <c r="A22" s="15" t="s">
        <v>82</v>
      </c>
      <c r="B22" s="15" t="s">
        <v>83</v>
      </c>
      <c r="C22" s="15" t="s">
        <v>84</v>
      </c>
      <c r="D22" s="15" t="s">
        <v>85</v>
      </c>
      <c r="E22" s="15" t="s">
        <v>86</v>
      </c>
      <c r="F22" s="15" t="s">
        <v>87</v>
      </c>
    </row>
    <row r="23" spans="1:6" ht="27.6" x14ac:dyDescent="0.3">
      <c r="A23" s="7" t="s">
        <v>88</v>
      </c>
      <c r="B23" s="7" t="s">
        <v>89</v>
      </c>
      <c r="C23" s="7" t="s">
        <v>90</v>
      </c>
      <c r="D23" s="7" t="s">
        <v>91</v>
      </c>
      <c r="E23" s="7" t="s">
        <v>92</v>
      </c>
      <c r="F23" s="7" t="s">
        <v>93</v>
      </c>
    </row>
    <row r="24" spans="1:6" ht="27.6" x14ac:dyDescent="0.3">
      <c r="A24" s="7" t="s">
        <v>94</v>
      </c>
      <c r="B24" s="7" t="s">
        <v>95</v>
      </c>
      <c r="C24" s="7" t="s">
        <v>96</v>
      </c>
      <c r="D24" s="7" t="s">
        <v>97</v>
      </c>
      <c r="E24" s="7" t="s">
        <v>98</v>
      </c>
      <c r="F24" s="7" t="s">
        <v>99</v>
      </c>
    </row>
    <row r="25" spans="1:6" ht="27.6" x14ac:dyDescent="0.3">
      <c r="A25" s="7" t="s">
        <v>100</v>
      </c>
      <c r="B25" s="7" t="s">
        <v>101</v>
      </c>
      <c r="C25" s="7" t="s">
        <v>102</v>
      </c>
      <c r="D25" s="7" t="s">
        <v>103</v>
      </c>
      <c r="E25" s="7" t="s">
        <v>104</v>
      </c>
      <c r="F25" s="7" t="s">
        <v>105</v>
      </c>
    </row>
    <row r="26" spans="1:6" ht="27.6" x14ac:dyDescent="0.3">
      <c r="A26" s="7" t="s">
        <v>106</v>
      </c>
      <c r="B26" s="7" t="s">
        <v>89</v>
      </c>
      <c r="C26" s="7" t="s">
        <v>107</v>
      </c>
      <c r="D26" s="7" t="s">
        <v>108</v>
      </c>
      <c r="E26" s="7" t="s">
        <v>109</v>
      </c>
      <c r="F26" s="7" t="s">
        <v>110</v>
      </c>
    </row>
  </sheetData>
  <mergeCells count="2">
    <mergeCell ref="A21:F21"/>
    <mergeCell ref="B4:B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FBE79-F3D8-4B61-8E6C-0C406867CCBA}">
  <sheetPr codeName="Hoja5"/>
  <dimension ref="A2:J32"/>
  <sheetViews>
    <sheetView workbookViewId="0">
      <selection activeCell="J12" sqref="J12"/>
    </sheetView>
  </sheetViews>
  <sheetFormatPr baseColWidth="10" defaultColWidth="9.109375" defaultRowHeight="14.4" x14ac:dyDescent="0.3"/>
  <cols>
    <col min="2" max="2" width="32.33203125" customWidth="1"/>
    <col min="3" max="3" width="31.109375" customWidth="1"/>
    <col min="4" max="10" width="19.109375" customWidth="1"/>
  </cols>
  <sheetData>
    <row r="2" spans="1:10" x14ac:dyDescent="0.3">
      <c r="A2" t="s">
        <v>24</v>
      </c>
    </row>
    <row r="3" spans="1:10" x14ac:dyDescent="0.3">
      <c r="B3" t="s">
        <v>34</v>
      </c>
    </row>
    <row r="4" spans="1:10" x14ac:dyDescent="0.3">
      <c r="B4" t="s">
        <v>111</v>
      </c>
    </row>
    <row r="8" spans="1:10" ht="55.2" x14ac:dyDescent="0.3">
      <c r="B8" s="22" t="s">
        <v>112</v>
      </c>
      <c r="C8" s="23" t="s">
        <v>113</v>
      </c>
    </row>
    <row r="11" spans="1:10" x14ac:dyDescent="0.3">
      <c r="B11" s="24" t="s">
        <v>114</v>
      </c>
      <c r="C11" s="23" t="s">
        <v>115</v>
      </c>
      <c r="D11" s="23"/>
      <c r="E11" s="23"/>
      <c r="F11" s="23"/>
      <c r="G11" s="23"/>
      <c r="H11" s="23"/>
      <c r="I11" s="23"/>
      <c r="J11" s="23"/>
    </row>
    <row r="12" spans="1:10" x14ac:dyDescent="0.3">
      <c r="B12" s="24" t="s">
        <v>116</v>
      </c>
      <c r="C12" s="25" t="s">
        <v>117</v>
      </c>
    </row>
    <row r="13" spans="1:10" ht="96.6" x14ac:dyDescent="0.3">
      <c r="B13" s="22" t="s">
        <v>112</v>
      </c>
      <c r="C13" s="26" t="s">
        <v>118</v>
      </c>
      <c r="D13" s="26" t="s">
        <v>119</v>
      </c>
      <c r="E13" s="26" t="s">
        <v>120</v>
      </c>
      <c r="F13" s="26" t="s">
        <v>121</v>
      </c>
      <c r="G13" s="26" t="s">
        <v>122</v>
      </c>
      <c r="H13" s="26" t="s">
        <v>123</v>
      </c>
      <c r="I13" s="26" t="s">
        <v>124</v>
      </c>
      <c r="J13" s="26" t="s">
        <v>125</v>
      </c>
    </row>
    <row r="14" spans="1:10" ht="27.6" x14ac:dyDescent="0.3">
      <c r="B14" s="15" t="s">
        <v>126</v>
      </c>
      <c r="C14" s="15" t="s">
        <v>127</v>
      </c>
      <c r="D14" s="15" t="s">
        <v>128</v>
      </c>
      <c r="E14" s="15" t="s">
        <v>129</v>
      </c>
      <c r="F14" s="15" t="s">
        <v>130</v>
      </c>
      <c r="G14" s="15" t="s">
        <v>131</v>
      </c>
      <c r="H14" s="15" t="s">
        <v>132</v>
      </c>
      <c r="I14" s="15" t="s">
        <v>133</v>
      </c>
      <c r="J14" s="15" t="s">
        <v>134</v>
      </c>
    </row>
    <row r="15" spans="1:10" ht="96.6" x14ac:dyDescent="0.3">
      <c r="B15" s="26" t="s">
        <v>135</v>
      </c>
      <c r="C15" s="26" t="s">
        <v>136</v>
      </c>
      <c r="D15" s="26" t="s">
        <v>137</v>
      </c>
      <c r="E15" s="26" t="s">
        <v>138</v>
      </c>
      <c r="F15" s="26" t="s">
        <v>139</v>
      </c>
      <c r="G15" s="26" t="s">
        <v>140</v>
      </c>
      <c r="H15" s="26" t="s">
        <v>141</v>
      </c>
      <c r="I15" s="26" t="s">
        <v>142</v>
      </c>
      <c r="J15" s="26" t="s">
        <v>143</v>
      </c>
    </row>
    <row r="16" spans="1:10" x14ac:dyDescent="0.3">
      <c r="B16" s="15"/>
      <c r="C16" s="2"/>
      <c r="D16" s="2"/>
      <c r="E16" s="2"/>
      <c r="F16" s="2"/>
      <c r="G16" s="2"/>
      <c r="H16" s="2"/>
      <c r="I16" s="2"/>
      <c r="J16" s="2"/>
    </row>
    <row r="17" spans="2:10" x14ac:dyDescent="0.3">
      <c r="B17" s="15"/>
      <c r="C17" s="2"/>
      <c r="D17" s="2"/>
      <c r="E17" s="2"/>
      <c r="F17" s="2"/>
      <c r="G17" s="2"/>
      <c r="H17" s="2"/>
      <c r="I17" s="2"/>
      <c r="J17" s="2"/>
    </row>
    <row r="18" spans="2:10" x14ac:dyDescent="0.3">
      <c r="B18" s="15"/>
      <c r="C18" s="2"/>
      <c r="D18" s="2"/>
      <c r="E18" s="2"/>
      <c r="F18" s="2"/>
      <c r="G18" s="2"/>
      <c r="H18" s="2"/>
      <c r="I18" s="2"/>
      <c r="J18" s="2"/>
    </row>
    <row r="19" spans="2:10" x14ac:dyDescent="0.3">
      <c r="B19" s="15"/>
      <c r="C19" s="2"/>
      <c r="D19" s="2"/>
      <c r="E19" s="2"/>
      <c r="F19" s="2"/>
      <c r="G19" s="2"/>
      <c r="H19" s="2"/>
      <c r="I19" s="2"/>
      <c r="J19" s="2"/>
    </row>
    <row r="20" spans="2:10" x14ac:dyDescent="0.3">
      <c r="B20" s="15"/>
      <c r="C20" s="2"/>
      <c r="D20" s="2"/>
      <c r="E20" s="2"/>
      <c r="F20" s="2"/>
      <c r="G20" s="2"/>
      <c r="H20" s="2"/>
      <c r="I20" s="2"/>
      <c r="J20" s="2"/>
    </row>
    <row r="21" spans="2:10" x14ac:dyDescent="0.3">
      <c r="B21" s="27"/>
    </row>
    <row r="22" spans="2:10" x14ac:dyDescent="0.3">
      <c r="B22" s="27"/>
    </row>
    <row r="23" spans="2:10" x14ac:dyDescent="0.3">
      <c r="B23" s="1" t="s">
        <v>144</v>
      </c>
    </row>
    <row r="24" spans="2:10" x14ac:dyDescent="0.3">
      <c r="B24" s="23"/>
      <c r="C24" s="23"/>
    </row>
    <row r="25" spans="2:10" ht="27.6" x14ac:dyDescent="0.3">
      <c r="B25" s="15" t="s">
        <v>116</v>
      </c>
      <c r="C25" s="15" t="s">
        <v>126</v>
      </c>
      <c r="D25" s="15" t="s">
        <v>129</v>
      </c>
      <c r="E25" s="15" t="s">
        <v>130</v>
      </c>
      <c r="F25" s="15" t="s">
        <v>131</v>
      </c>
      <c r="G25" s="15" t="s">
        <v>132</v>
      </c>
      <c r="H25" s="15" t="s">
        <v>134</v>
      </c>
    </row>
    <row r="26" spans="2:10" x14ac:dyDescent="0.3">
      <c r="B26" s="26"/>
      <c r="C26" s="26"/>
      <c r="D26" s="2"/>
      <c r="E26" s="2"/>
      <c r="F26" s="2"/>
      <c r="G26" s="2"/>
      <c r="H26" s="2"/>
    </row>
    <row r="27" spans="2:10" x14ac:dyDescent="0.3">
      <c r="B27" s="26"/>
      <c r="C27" s="26"/>
      <c r="D27" s="2"/>
      <c r="E27" s="2"/>
      <c r="F27" s="2"/>
      <c r="G27" s="2"/>
      <c r="H27" s="2"/>
    </row>
    <row r="28" spans="2:10" x14ac:dyDescent="0.3">
      <c r="B28" s="26"/>
      <c r="C28" s="26"/>
      <c r="D28" s="2"/>
      <c r="E28" s="2"/>
      <c r="F28" s="2"/>
      <c r="G28" s="2"/>
      <c r="H28" s="2"/>
    </row>
    <row r="29" spans="2:10" x14ac:dyDescent="0.3">
      <c r="B29" s="26"/>
      <c r="C29" s="26"/>
      <c r="D29" s="2"/>
      <c r="E29" s="2"/>
      <c r="F29" s="2"/>
      <c r="G29" s="2"/>
      <c r="H29" s="2"/>
    </row>
    <row r="30" spans="2:10" x14ac:dyDescent="0.3">
      <c r="B30" s="26"/>
      <c r="C30" s="26"/>
      <c r="D30" s="2"/>
      <c r="E30" s="2"/>
      <c r="F30" s="2"/>
      <c r="G30" s="2"/>
      <c r="H30" s="2"/>
    </row>
    <row r="31" spans="2:10" x14ac:dyDescent="0.3">
      <c r="B31" s="26"/>
      <c r="C31" s="26"/>
      <c r="D31" s="2"/>
      <c r="E31" s="2"/>
      <c r="F31" s="2"/>
      <c r="G31" s="2"/>
      <c r="H31" s="2"/>
    </row>
    <row r="32" spans="2:10" x14ac:dyDescent="0.3">
      <c r="B32" s="26"/>
      <c r="C32" s="26"/>
      <c r="D32" s="2"/>
      <c r="E32" s="2"/>
      <c r="F32" s="2"/>
      <c r="G32" s="2"/>
      <c r="H32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B343-B2ED-4D1D-9D84-5F0AE44967D5}">
  <sheetPr codeName="Hoja6">
    <tabColor theme="5" tint="0.39997558519241921"/>
  </sheetPr>
  <dimension ref="C1:F25"/>
  <sheetViews>
    <sheetView workbookViewId="0">
      <selection activeCell="C1" sqref="C1"/>
    </sheetView>
  </sheetViews>
  <sheetFormatPr baseColWidth="10" defaultColWidth="9.109375" defaultRowHeight="14.4" x14ac:dyDescent="0.3"/>
  <cols>
    <col min="3" max="3" width="34.109375" customWidth="1"/>
    <col min="4" max="6" width="36.33203125" customWidth="1"/>
  </cols>
  <sheetData>
    <row r="1" spans="3:6" x14ac:dyDescent="0.3">
      <c r="C1" s="78" t="s">
        <v>0</v>
      </c>
    </row>
    <row r="2" spans="3:6" ht="21" x14ac:dyDescent="0.4">
      <c r="C2" s="67" t="s">
        <v>145</v>
      </c>
    </row>
    <row r="3" spans="3:6" ht="55.2" x14ac:dyDescent="0.3">
      <c r="C3" s="70" t="s">
        <v>35</v>
      </c>
      <c r="D3" s="68" t="s">
        <v>146</v>
      </c>
    </row>
    <row r="4" spans="3:6" x14ac:dyDescent="0.3">
      <c r="C4" s="125" t="s">
        <v>55</v>
      </c>
      <c r="D4" s="68" t="s">
        <v>147</v>
      </c>
    </row>
    <row r="5" spans="3:6" ht="27.6" x14ac:dyDescent="0.3">
      <c r="C5" s="125"/>
      <c r="D5" s="69" t="s">
        <v>148</v>
      </c>
    </row>
    <row r="6" spans="3:6" ht="27.6" x14ac:dyDescent="0.3">
      <c r="C6" s="125"/>
      <c r="D6" s="69" t="s">
        <v>149</v>
      </c>
    </row>
    <row r="7" spans="3:6" ht="41.4" x14ac:dyDescent="0.3">
      <c r="C7" s="125"/>
      <c r="D7" s="73" t="s">
        <v>150</v>
      </c>
    </row>
    <row r="8" spans="3:6" x14ac:dyDescent="0.3">
      <c r="C8" s="70" t="s">
        <v>56</v>
      </c>
      <c r="D8" s="71" t="s">
        <v>151</v>
      </c>
    </row>
    <row r="9" spans="3:6" x14ac:dyDescent="0.3">
      <c r="C9" s="70"/>
      <c r="D9" s="72"/>
    </row>
    <row r="10" spans="3:6" ht="15.6" x14ac:dyDescent="0.3">
      <c r="C10" s="16" t="s">
        <v>152</v>
      </c>
    </row>
    <row r="11" spans="3:6" ht="15.6" x14ac:dyDescent="0.3">
      <c r="C11" s="17"/>
    </row>
    <row r="12" spans="3:6" ht="15.6" x14ac:dyDescent="0.3">
      <c r="C12" s="18" t="s">
        <v>153</v>
      </c>
    </row>
    <row r="13" spans="3:6" x14ac:dyDescent="0.3">
      <c r="C13" s="1" t="s">
        <v>154</v>
      </c>
    </row>
    <row r="14" spans="3:6" x14ac:dyDescent="0.3">
      <c r="C14" s="9" t="s">
        <v>58</v>
      </c>
      <c r="D14" s="9" t="s">
        <v>59</v>
      </c>
      <c r="E14" s="9" t="s">
        <v>60</v>
      </c>
      <c r="F14" s="9" t="s">
        <v>61</v>
      </c>
    </row>
    <row r="15" spans="3:6" ht="55.2" x14ac:dyDescent="0.3">
      <c r="C15" s="14" t="s">
        <v>155</v>
      </c>
      <c r="D15" s="7" t="s">
        <v>156</v>
      </c>
      <c r="E15" s="7" t="s">
        <v>157</v>
      </c>
      <c r="F15" s="7" t="s">
        <v>158</v>
      </c>
    </row>
    <row r="16" spans="3:6" ht="69" x14ac:dyDescent="0.3">
      <c r="C16" s="14" t="s">
        <v>159</v>
      </c>
      <c r="D16" s="7" t="s">
        <v>160</v>
      </c>
      <c r="E16" s="7" t="s">
        <v>161</v>
      </c>
      <c r="F16" s="7" t="s">
        <v>162</v>
      </c>
    </row>
    <row r="17" spans="3:6" ht="55.2" x14ac:dyDescent="0.3">
      <c r="C17" s="14" t="s">
        <v>163</v>
      </c>
      <c r="D17" s="7" t="s">
        <v>164</v>
      </c>
      <c r="E17" s="7" t="s">
        <v>165</v>
      </c>
      <c r="F17" s="7" t="s">
        <v>166</v>
      </c>
    </row>
    <row r="18" spans="3:6" ht="82.8" x14ac:dyDescent="0.3">
      <c r="C18" s="14" t="s">
        <v>167</v>
      </c>
      <c r="D18" s="7" t="s">
        <v>168</v>
      </c>
      <c r="E18" s="7" t="s">
        <v>169</v>
      </c>
      <c r="F18" s="7" t="s">
        <v>170</v>
      </c>
    </row>
    <row r="21" spans="3:6" x14ac:dyDescent="0.3">
      <c r="C21" t="s">
        <v>171</v>
      </c>
    </row>
    <row r="22" spans="3:6" x14ac:dyDescent="0.3">
      <c r="C22" t="s">
        <v>172</v>
      </c>
    </row>
    <row r="23" spans="3:6" x14ac:dyDescent="0.3">
      <c r="D23" t="s">
        <v>173</v>
      </c>
    </row>
    <row r="24" spans="3:6" x14ac:dyDescent="0.3">
      <c r="C24" t="s">
        <v>174</v>
      </c>
    </row>
    <row r="25" spans="3:6" x14ac:dyDescent="0.3">
      <c r="D25" t="s">
        <v>175</v>
      </c>
    </row>
  </sheetData>
  <mergeCells count="1">
    <mergeCell ref="C4:C7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5FF5E-1BF8-4633-AF91-0607692B70DB}">
  <sheetPr codeName="Hoja7"/>
  <dimension ref="A2:M141"/>
  <sheetViews>
    <sheetView topLeftCell="A68" workbookViewId="0">
      <selection activeCell="B96" sqref="B96"/>
    </sheetView>
  </sheetViews>
  <sheetFormatPr baseColWidth="10" defaultColWidth="9.109375" defaultRowHeight="14.4" x14ac:dyDescent="0.3"/>
  <cols>
    <col min="2" max="2" width="12.88671875" bestFit="1" customWidth="1"/>
    <col min="3" max="3" width="28.5546875" bestFit="1" customWidth="1"/>
    <col min="4" max="4" width="23.6640625" customWidth="1"/>
    <col min="5" max="5" width="20.5546875" bestFit="1" customWidth="1"/>
    <col min="6" max="6" width="19" bestFit="1" customWidth="1"/>
    <col min="7" max="7" width="17.33203125" bestFit="1" customWidth="1"/>
    <col min="8" max="8" width="14.33203125" customWidth="1"/>
    <col min="9" max="9" width="12.44140625" customWidth="1"/>
  </cols>
  <sheetData>
    <row r="2" spans="2:13" x14ac:dyDescent="0.3">
      <c r="B2" t="s">
        <v>33</v>
      </c>
    </row>
    <row r="3" spans="2:13" x14ac:dyDescent="0.3">
      <c r="C3" t="s">
        <v>176</v>
      </c>
    </row>
    <row r="4" spans="2:13" x14ac:dyDescent="0.3">
      <c r="C4" t="s">
        <v>177</v>
      </c>
    </row>
    <row r="5" spans="2:13" x14ac:dyDescent="0.3">
      <c r="C5" t="s">
        <v>178</v>
      </c>
    </row>
    <row r="8" spans="2:13" ht="15" customHeight="1" x14ac:dyDescent="0.3">
      <c r="C8" s="127" t="s">
        <v>179</v>
      </c>
      <c r="D8" s="127"/>
      <c r="E8" s="127"/>
      <c r="F8" s="127"/>
      <c r="G8" s="127"/>
      <c r="H8" s="35"/>
      <c r="I8" s="35"/>
      <c r="J8" s="35"/>
      <c r="K8" s="35"/>
      <c r="L8" s="35"/>
      <c r="M8" s="35"/>
    </row>
    <row r="9" spans="2:13" x14ac:dyDescent="0.3">
      <c r="C9" s="127"/>
      <c r="D9" s="127"/>
      <c r="E9" s="127"/>
      <c r="F9" s="127"/>
      <c r="G9" s="127"/>
      <c r="H9" s="35"/>
      <c r="I9" s="35"/>
      <c r="J9" s="35"/>
      <c r="K9" s="35"/>
      <c r="L9" s="35"/>
      <c r="M9" s="35"/>
    </row>
    <row r="11" spans="2:13" x14ac:dyDescent="0.3">
      <c r="C11" s="35" t="s">
        <v>180</v>
      </c>
    </row>
    <row r="13" spans="2:13" x14ac:dyDescent="0.3">
      <c r="B13" s="36" t="s">
        <v>181</v>
      </c>
      <c r="C13" s="36" t="s">
        <v>23</v>
      </c>
      <c r="D13" s="36" t="s">
        <v>182</v>
      </c>
    </row>
    <row r="14" spans="2:13" x14ac:dyDescent="0.3">
      <c r="B14" s="37">
        <v>1</v>
      </c>
      <c r="C14" s="38" t="s">
        <v>183</v>
      </c>
      <c r="D14" s="39" t="s">
        <v>184</v>
      </c>
    </row>
    <row r="15" spans="2:13" x14ac:dyDescent="0.3">
      <c r="B15" s="37">
        <v>2</v>
      </c>
      <c r="C15" s="38" t="s">
        <v>185</v>
      </c>
      <c r="D15" s="39" t="s">
        <v>186</v>
      </c>
    </row>
    <row r="16" spans="2:13" x14ac:dyDescent="0.3">
      <c r="B16" s="37">
        <v>3</v>
      </c>
      <c r="C16" s="38" t="s">
        <v>187</v>
      </c>
      <c r="D16" s="39" t="s">
        <v>188</v>
      </c>
      <c r="F16" s="35"/>
    </row>
    <row r="17" spans="2:7" x14ac:dyDescent="0.3">
      <c r="B17" s="37">
        <v>4</v>
      </c>
      <c r="C17" s="38" t="s">
        <v>189</v>
      </c>
      <c r="D17" s="39" t="s">
        <v>190</v>
      </c>
    </row>
    <row r="18" spans="2:7" x14ac:dyDescent="0.3">
      <c r="B18" s="37">
        <v>5</v>
      </c>
      <c r="C18" s="38" t="s">
        <v>191</v>
      </c>
      <c r="D18" s="39" t="s">
        <v>192</v>
      </c>
    </row>
    <row r="19" spans="2:7" x14ac:dyDescent="0.3">
      <c r="B19" s="37">
        <v>6</v>
      </c>
      <c r="C19" s="38" t="s">
        <v>193</v>
      </c>
      <c r="D19" s="39" t="s">
        <v>194</v>
      </c>
    </row>
    <row r="22" spans="2:7" x14ac:dyDescent="0.3">
      <c r="C22" s="35" t="s">
        <v>195</v>
      </c>
    </row>
    <row r="24" spans="2:7" x14ac:dyDescent="0.3">
      <c r="B24" s="36" t="s">
        <v>116</v>
      </c>
      <c r="C24" s="36" t="s">
        <v>196</v>
      </c>
      <c r="D24" s="36" t="s">
        <v>197</v>
      </c>
      <c r="E24" s="40" t="s">
        <v>198</v>
      </c>
      <c r="F24" s="40" t="s">
        <v>199</v>
      </c>
      <c r="G24" s="40" t="s">
        <v>200</v>
      </c>
    </row>
    <row r="25" spans="2:7" x14ac:dyDescent="0.3">
      <c r="B25" s="38" t="s">
        <v>201</v>
      </c>
      <c r="C25" s="41" t="s">
        <v>202</v>
      </c>
      <c r="D25" s="38" t="s">
        <v>183</v>
      </c>
      <c r="E25" s="39" t="s">
        <v>203</v>
      </c>
      <c r="F25" s="39" t="s">
        <v>204</v>
      </c>
      <c r="G25" s="39" t="s">
        <v>205</v>
      </c>
    </row>
    <row r="26" spans="2:7" x14ac:dyDescent="0.3">
      <c r="B26" s="38" t="s">
        <v>206</v>
      </c>
      <c r="C26" s="41" t="s">
        <v>207</v>
      </c>
      <c r="D26" s="38" t="s">
        <v>185</v>
      </c>
      <c r="E26" s="39" t="s">
        <v>208</v>
      </c>
      <c r="F26" s="39" t="s">
        <v>209</v>
      </c>
      <c r="G26" s="39" t="s">
        <v>210</v>
      </c>
    </row>
    <row r="27" spans="2:7" x14ac:dyDescent="0.3">
      <c r="B27" s="38" t="s">
        <v>206</v>
      </c>
      <c r="C27" s="41" t="s">
        <v>211</v>
      </c>
      <c r="D27" s="38" t="s">
        <v>187</v>
      </c>
      <c r="E27" s="39" t="s">
        <v>212</v>
      </c>
      <c r="F27" s="39" t="s">
        <v>213</v>
      </c>
      <c r="G27" s="39" t="s">
        <v>214</v>
      </c>
    </row>
    <row r="28" spans="2:7" x14ac:dyDescent="0.3">
      <c r="B28" s="38" t="s">
        <v>206</v>
      </c>
      <c r="C28" s="41" t="s">
        <v>215</v>
      </c>
      <c r="D28" s="38" t="s">
        <v>216</v>
      </c>
      <c r="E28" s="39" t="s">
        <v>217</v>
      </c>
      <c r="F28" s="39" t="s">
        <v>218</v>
      </c>
      <c r="G28" s="39" t="s">
        <v>219</v>
      </c>
    </row>
    <row r="29" spans="2:7" x14ac:dyDescent="0.3">
      <c r="B29" s="38" t="s">
        <v>220</v>
      </c>
      <c r="C29" s="41" t="s">
        <v>221</v>
      </c>
      <c r="D29" s="38" t="s">
        <v>191</v>
      </c>
      <c r="E29" s="39" t="s">
        <v>222</v>
      </c>
      <c r="F29" s="39" t="s">
        <v>223</v>
      </c>
      <c r="G29" s="39" t="s">
        <v>224</v>
      </c>
    </row>
    <row r="30" spans="2:7" x14ac:dyDescent="0.3">
      <c r="B30" s="38" t="s">
        <v>220</v>
      </c>
      <c r="C30" s="41" t="s">
        <v>225</v>
      </c>
      <c r="D30" s="38" t="s">
        <v>193</v>
      </c>
      <c r="E30" s="39" t="s">
        <v>226</v>
      </c>
      <c r="F30" s="39" t="s">
        <v>227</v>
      </c>
      <c r="G30" s="39" t="s">
        <v>228</v>
      </c>
    </row>
    <row r="32" spans="2:7" x14ac:dyDescent="0.3">
      <c r="C32" s="35" t="s">
        <v>229</v>
      </c>
    </row>
    <row r="34" spans="3:6" x14ac:dyDescent="0.3">
      <c r="C34" s="40" t="s">
        <v>202</v>
      </c>
      <c r="D34" s="40" t="s">
        <v>230</v>
      </c>
      <c r="E34" s="40" t="s">
        <v>231</v>
      </c>
      <c r="F34" s="40" t="s">
        <v>232</v>
      </c>
    </row>
    <row r="35" spans="3:6" x14ac:dyDescent="0.3">
      <c r="C35" s="39" t="s">
        <v>203</v>
      </c>
      <c r="D35" s="39" t="s">
        <v>233</v>
      </c>
      <c r="E35" s="39" t="s">
        <v>234</v>
      </c>
      <c r="F35" s="39"/>
    </row>
    <row r="36" spans="3:6" x14ac:dyDescent="0.3">
      <c r="C36" s="39" t="s">
        <v>204</v>
      </c>
      <c r="D36" s="39" t="s">
        <v>233</v>
      </c>
      <c r="E36" s="39" t="s">
        <v>235</v>
      </c>
      <c r="F36" s="39" t="s">
        <v>236</v>
      </c>
    </row>
    <row r="37" spans="3:6" x14ac:dyDescent="0.3">
      <c r="C37" s="39" t="s">
        <v>205</v>
      </c>
      <c r="D37" s="39" t="s">
        <v>237</v>
      </c>
      <c r="E37" s="39" t="s">
        <v>238</v>
      </c>
      <c r="F37" s="39" t="s">
        <v>239</v>
      </c>
    </row>
    <row r="38" spans="3:6" x14ac:dyDescent="0.3">
      <c r="C38" s="35"/>
      <c r="D38" s="35"/>
      <c r="E38" s="35"/>
      <c r="F38" s="35"/>
    </row>
    <row r="39" spans="3:6" x14ac:dyDescent="0.3">
      <c r="C39" s="40" t="s">
        <v>207</v>
      </c>
      <c r="D39" s="40" t="s">
        <v>230</v>
      </c>
      <c r="E39" s="40" t="s">
        <v>231</v>
      </c>
      <c r="F39" s="40" t="s">
        <v>232</v>
      </c>
    </row>
    <row r="40" spans="3:6" x14ac:dyDescent="0.3">
      <c r="C40" s="39" t="s">
        <v>240</v>
      </c>
      <c r="D40" s="39" t="s">
        <v>241</v>
      </c>
      <c r="E40" s="39" t="s">
        <v>242</v>
      </c>
      <c r="F40" s="39" t="s">
        <v>243</v>
      </c>
    </row>
    <row r="41" spans="3:6" x14ac:dyDescent="0.3">
      <c r="C41" s="39" t="s">
        <v>244</v>
      </c>
      <c r="D41" s="39" t="s">
        <v>245</v>
      </c>
      <c r="E41" s="39" t="s">
        <v>246</v>
      </c>
      <c r="F41" s="39" t="s">
        <v>247</v>
      </c>
    </row>
    <row r="42" spans="3:6" x14ac:dyDescent="0.3">
      <c r="C42" s="39" t="s">
        <v>248</v>
      </c>
      <c r="D42" s="39" t="s">
        <v>249</v>
      </c>
      <c r="E42" s="39" t="s">
        <v>250</v>
      </c>
      <c r="F42" s="39" t="s">
        <v>251</v>
      </c>
    </row>
    <row r="43" spans="3:6" x14ac:dyDescent="0.3">
      <c r="C43" s="35"/>
      <c r="D43" s="35"/>
      <c r="E43" s="35"/>
      <c r="F43" s="35"/>
    </row>
    <row r="44" spans="3:6" x14ac:dyDescent="0.3">
      <c r="C44" s="40" t="s">
        <v>211</v>
      </c>
      <c r="D44" s="40" t="s">
        <v>230</v>
      </c>
      <c r="E44" s="40" t="s">
        <v>231</v>
      </c>
      <c r="F44" s="40" t="s">
        <v>232</v>
      </c>
    </row>
    <row r="45" spans="3:6" x14ac:dyDescent="0.3">
      <c r="C45" s="39" t="s">
        <v>212</v>
      </c>
      <c r="D45" s="39" t="s">
        <v>252</v>
      </c>
      <c r="E45" s="39" t="s">
        <v>253</v>
      </c>
      <c r="F45" s="39" t="s">
        <v>254</v>
      </c>
    </row>
    <row r="46" spans="3:6" x14ac:dyDescent="0.3">
      <c r="C46" s="39" t="s">
        <v>213</v>
      </c>
      <c r="D46" s="39" t="s">
        <v>255</v>
      </c>
      <c r="E46" s="39" t="s">
        <v>256</v>
      </c>
      <c r="F46" s="39" t="s">
        <v>257</v>
      </c>
    </row>
    <row r="47" spans="3:6" x14ac:dyDescent="0.3">
      <c r="C47" s="39" t="s">
        <v>214</v>
      </c>
      <c r="D47" s="39" t="s">
        <v>258</v>
      </c>
      <c r="E47" s="39" t="s">
        <v>259</v>
      </c>
      <c r="F47" s="39" t="s">
        <v>260</v>
      </c>
    </row>
    <row r="48" spans="3:6" x14ac:dyDescent="0.3">
      <c r="C48" s="35"/>
      <c r="D48" s="35"/>
      <c r="E48" s="35"/>
      <c r="F48" s="35"/>
    </row>
    <row r="49" spans="1:7" x14ac:dyDescent="0.3">
      <c r="A49" t="s">
        <v>261</v>
      </c>
      <c r="C49" s="35"/>
      <c r="D49" s="35"/>
      <c r="E49" s="35"/>
      <c r="F49" s="35"/>
    </row>
    <row r="50" spans="1:7" x14ac:dyDescent="0.3">
      <c r="C50" s="35" t="s">
        <v>262</v>
      </c>
      <c r="D50" s="35"/>
      <c r="E50" s="35"/>
      <c r="F50" s="35"/>
    </row>
    <row r="51" spans="1:7" x14ac:dyDescent="0.3">
      <c r="E51" s="128" t="s">
        <v>263</v>
      </c>
      <c r="F51" s="128"/>
      <c r="G51" s="128"/>
    </row>
    <row r="52" spans="1:7" x14ac:dyDescent="0.3">
      <c r="C52" s="42" t="s">
        <v>116</v>
      </c>
      <c r="D52" s="42" t="s">
        <v>264</v>
      </c>
      <c r="E52" s="42" t="s">
        <v>265</v>
      </c>
      <c r="F52" s="42" t="s">
        <v>266</v>
      </c>
      <c r="G52" s="42" t="s">
        <v>267</v>
      </c>
    </row>
    <row r="53" spans="1:7" x14ac:dyDescent="0.3">
      <c r="C53" s="38" t="s">
        <v>201</v>
      </c>
      <c r="D53" s="41" t="s">
        <v>202</v>
      </c>
      <c r="E53" s="39" t="s">
        <v>268</v>
      </c>
      <c r="F53" s="39" t="s">
        <v>269</v>
      </c>
      <c r="G53" s="39" t="s">
        <v>270</v>
      </c>
    </row>
    <row r="54" spans="1:7" x14ac:dyDescent="0.3">
      <c r="C54" s="129" t="s">
        <v>206</v>
      </c>
      <c r="D54" s="43" t="s">
        <v>207</v>
      </c>
      <c r="E54" s="39"/>
      <c r="F54" s="39"/>
      <c r="G54" s="39"/>
    </row>
    <row r="55" spans="1:7" x14ac:dyDescent="0.3">
      <c r="C55" s="130"/>
      <c r="D55" s="43" t="s">
        <v>211</v>
      </c>
      <c r="E55" s="39"/>
      <c r="F55" s="39"/>
      <c r="G55" s="39"/>
    </row>
    <row r="56" spans="1:7" x14ac:dyDescent="0.3">
      <c r="C56" s="131"/>
      <c r="D56" s="43" t="s">
        <v>215</v>
      </c>
      <c r="E56" s="39"/>
      <c r="F56" s="39"/>
      <c r="G56" s="39"/>
    </row>
    <row r="57" spans="1:7" x14ac:dyDescent="0.3">
      <c r="C57" s="129" t="s">
        <v>220</v>
      </c>
      <c r="D57" s="41" t="s">
        <v>221</v>
      </c>
      <c r="E57" s="39"/>
      <c r="F57" s="39"/>
      <c r="G57" s="39"/>
    </row>
    <row r="58" spans="1:7" x14ac:dyDescent="0.3">
      <c r="C58" s="131"/>
      <c r="D58" s="41" t="s">
        <v>225</v>
      </c>
      <c r="E58" s="39"/>
      <c r="F58" s="39"/>
      <c r="G58" s="39"/>
    </row>
    <row r="60" spans="1:7" x14ac:dyDescent="0.3">
      <c r="C60" s="35" t="s">
        <v>271</v>
      </c>
    </row>
    <row r="62" spans="1:7" x14ac:dyDescent="0.3">
      <c r="C62" s="42" t="s">
        <v>116</v>
      </c>
      <c r="D62" s="42" t="s">
        <v>264</v>
      </c>
      <c r="E62" s="40" t="s">
        <v>272</v>
      </c>
    </row>
    <row r="63" spans="1:7" x14ac:dyDescent="0.3">
      <c r="C63" s="38" t="s">
        <v>201</v>
      </c>
      <c r="D63" s="44" t="s">
        <v>202</v>
      </c>
      <c r="E63" s="45" t="s">
        <v>273</v>
      </c>
    </row>
    <row r="64" spans="1:7" x14ac:dyDescent="0.3">
      <c r="C64" s="132" t="s">
        <v>206</v>
      </c>
      <c r="D64" s="46" t="s">
        <v>207</v>
      </c>
      <c r="E64" s="45" t="s">
        <v>274</v>
      </c>
    </row>
    <row r="65" spans="1:9" x14ac:dyDescent="0.3">
      <c r="C65" s="133"/>
      <c r="D65" s="47" t="s">
        <v>211</v>
      </c>
      <c r="E65" s="48" t="s">
        <v>275</v>
      </c>
    </row>
    <row r="66" spans="1:9" x14ac:dyDescent="0.3">
      <c r="C66" s="134"/>
      <c r="D66" s="47" t="s">
        <v>215</v>
      </c>
      <c r="E66" s="48" t="s">
        <v>276</v>
      </c>
    </row>
    <row r="67" spans="1:9" x14ac:dyDescent="0.3">
      <c r="C67" s="49" t="s">
        <v>220</v>
      </c>
      <c r="D67" s="46" t="s">
        <v>221</v>
      </c>
      <c r="E67" s="45" t="s">
        <v>277</v>
      </c>
    </row>
    <row r="68" spans="1:9" x14ac:dyDescent="0.3">
      <c r="C68" s="50"/>
      <c r="D68" s="51" t="s">
        <v>225</v>
      </c>
      <c r="E68" s="52" t="s">
        <v>278</v>
      </c>
    </row>
    <row r="70" spans="1:9" x14ac:dyDescent="0.3">
      <c r="A70" t="s">
        <v>27</v>
      </c>
    </row>
    <row r="71" spans="1:9" x14ac:dyDescent="0.3">
      <c r="C71" s="35" t="s">
        <v>279</v>
      </c>
    </row>
    <row r="72" spans="1:9" x14ac:dyDescent="0.3">
      <c r="C72" s="39" t="s">
        <v>280</v>
      </c>
      <c r="D72" s="37">
        <v>1</v>
      </c>
    </row>
    <row r="73" spans="1:9" x14ac:dyDescent="0.3">
      <c r="C73" s="39" t="s">
        <v>281</v>
      </c>
      <c r="D73" s="37">
        <v>2</v>
      </c>
    </row>
    <row r="74" spans="1:9" x14ac:dyDescent="0.3">
      <c r="C74" s="39" t="s">
        <v>282</v>
      </c>
      <c r="D74" s="37">
        <v>3</v>
      </c>
    </row>
    <row r="75" spans="1:9" x14ac:dyDescent="0.3">
      <c r="F75" s="128" t="s">
        <v>283</v>
      </c>
      <c r="G75" s="128"/>
      <c r="H75" s="128"/>
      <c r="I75" s="128"/>
    </row>
    <row r="76" spans="1:9" x14ac:dyDescent="0.3">
      <c r="B76" s="40" t="s">
        <v>284</v>
      </c>
      <c r="C76" s="40" t="s">
        <v>116</v>
      </c>
      <c r="D76" s="40" t="s">
        <v>126</v>
      </c>
      <c r="E76" s="40" t="s">
        <v>285</v>
      </c>
      <c r="F76" s="53" t="s">
        <v>286</v>
      </c>
      <c r="G76" s="53" t="s">
        <v>287</v>
      </c>
      <c r="H76" s="53" t="s">
        <v>273</v>
      </c>
    </row>
    <row r="77" spans="1:9" x14ac:dyDescent="0.3">
      <c r="C77" s="129" t="s">
        <v>201</v>
      </c>
      <c r="D77" s="39" t="s">
        <v>233</v>
      </c>
      <c r="E77" s="37"/>
      <c r="F77" s="37"/>
      <c r="G77" s="37"/>
      <c r="H77" s="37"/>
    </row>
    <row r="78" spans="1:9" x14ac:dyDescent="0.3">
      <c r="C78" s="130"/>
      <c r="D78" s="39" t="s">
        <v>234</v>
      </c>
      <c r="E78" s="37"/>
      <c r="F78" s="37"/>
      <c r="G78" s="37"/>
      <c r="H78" s="37"/>
    </row>
    <row r="79" spans="1:9" x14ac:dyDescent="0.3">
      <c r="C79" s="131"/>
      <c r="D79" s="39" t="s">
        <v>235</v>
      </c>
      <c r="E79" s="37"/>
      <c r="F79" s="37"/>
      <c r="G79" s="37"/>
      <c r="H79" s="37"/>
    </row>
    <row r="81" spans="1:10" x14ac:dyDescent="0.3">
      <c r="B81" s="40" t="s">
        <v>284</v>
      </c>
      <c r="C81" s="40" t="s">
        <v>116</v>
      </c>
      <c r="D81" s="40" t="s">
        <v>126</v>
      </c>
      <c r="E81" s="40" t="s">
        <v>285</v>
      </c>
      <c r="F81" s="40" t="s">
        <v>286</v>
      </c>
      <c r="G81" s="40" t="s">
        <v>287</v>
      </c>
      <c r="H81" s="40" t="s">
        <v>274</v>
      </c>
      <c r="I81" s="40" t="s">
        <v>275</v>
      </c>
      <c r="J81" s="40" t="s">
        <v>276</v>
      </c>
    </row>
    <row r="82" spans="1:10" x14ac:dyDescent="0.3">
      <c r="C82" s="129" t="s">
        <v>206</v>
      </c>
      <c r="D82" s="39"/>
      <c r="E82" s="37"/>
      <c r="F82" s="37"/>
      <c r="G82" s="37"/>
      <c r="H82" s="37"/>
      <c r="I82" s="37"/>
      <c r="J82" s="37"/>
    </row>
    <row r="83" spans="1:10" x14ac:dyDescent="0.3">
      <c r="C83" s="130"/>
      <c r="D83" s="39"/>
      <c r="E83" s="37"/>
      <c r="F83" s="37"/>
      <c r="G83" s="37"/>
      <c r="H83" s="37"/>
      <c r="I83" s="37"/>
      <c r="J83" s="37"/>
    </row>
    <row r="84" spans="1:10" x14ac:dyDescent="0.3">
      <c r="C84" s="131"/>
      <c r="D84" s="39"/>
      <c r="E84" s="37"/>
      <c r="F84" s="37"/>
      <c r="G84" s="37"/>
      <c r="H84" s="37"/>
      <c r="I84" s="37"/>
      <c r="J84" s="37"/>
    </row>
    <row r="86" spans="1:10" x14ac:dyDescent="0.3">
      <c r="B86" s="40" t="s">
        <v>284</v>
      </c>
      <c r="C86" s="40" t="s">
        <v>116</v>
      </c>
      <c r="D86" s="40" t="s">
        <v>126</v>
      </c>
      <c r="E86" s="40" t="s">
        <v>285</v>
      </c>
      <c r="F86" s="40" t="s">
        <v>286</v>
      </c>
      <c r="G86" s="40" t="s">
        <v>287</v>
      </c>
      <c r="H86" s="40" t="s">
        <v>277</v>
      </c>
      <c r="I86" s="40" t="s">
        <v>278</v>
      </c>
    </row>
    <row r="87" spans="1:10" x14ac:dyDescent="0.3">
      <c r="C87" s="129" t="s">
        <v>220</v>
      </c>
      <c r="D87" s="39" t="s">
        <v>288</v>
      </c>
      <c r="E87" s="37"/>
      <c r="F87" s="37"/>
      <c r="G87" s="37"/>
      <c r="H87" s="37"/>
      <c r="I87" s="37"/>
    </row>
    <row r="88" spans="1:10" x14ac:dyDescent="0.3">
      <c r="C88" s="130"/>
      <c r="D88" s="39" t="s">
        <v>135</v>
      </c>
      <c r="E88" s="37"/>
      <c r="F88" s="37"/>
      <c r="G88" s="37"/>
      <c r="H88" s="37"/>
      <c r="I88" s="37"/>
    </row>
    <row r="89" spans="1:10" x14ac:dyDescent="0.3">
      <c r="C89" s="131"/>
      <c r="D89" s="39" t="s">
        <v>289</v>
      </c>
      <c r="E89" s="37"/>
      <c r="F89" s="37"/>
      <c r="G89" s="37"/>
      <c r="H89" s="37"/>
      <c r="I89" s="37"/>
    </row>
    <row r="91" spans="1:10" x14ac:dyDescent="0.3">
      <c r="A91" t="s">
        <v>28</v>
      </c>
    </row>
    <row r="92" spans="1:10" x14ac:dyDescent="0.3">
      <c r="C92" s="35" t="s">
        <v>290</v>
      </c>
    </row>
    <row r="93" spans="1:10" x14ac:dyDescent="0.3">
      <c r="C93" s="35" t="s">
        <v>291</v>
      </c>
    </row>
    <row r="94" spans="1:10" x14ac:dyDescent="0.3">
      <c r="C94" s="35" t="s">
        <v>292</v>
      </c>
    </row>
    <row r="95" spans="1:10" x14ac:dyDescent="0.3">
      <c r="C95" s="35" t="s">
        <v>293</v>
      </c>
    </row>
    <row r="97" spans="3:8" x14ac:dyDescent="0.3">
      <c r="C97" s="40" t="s">
        <v>116</v>
      </c>
      <c r="D97" s="40" t="s">
        <v>294</v>
      </c>
      <c r="E97" s="40" t="s">
        <v>295</v>
      </c>
      <c r="F97" s="40" t="s">
        <v>296</v>
      </c>
    </row>
    <row r="98" spans="3:8" x14ac:dyDescent="0.3">
      <c r="C98" s="38" t="s">
        <v>201</v>
      </c>
      <c r="D98" s="39"/>
      <c r="E98" s="39"/>
      <c r="F98" s="39"/>
    </row>
    <row r="99" spans="3:8" x14ac:dyDescent="0.3">
      <c r="C99" s="38" t="s">
        <v>206</v>
      </c>
      <c r="D99" s="39"/>
      <c r="E99" s="39"/>
      <c r="F99" s="39"/>
    </row>
    <row r="100" spans="3:8" x14ac:dyDescent="0.3">
      <c r="C100" s="38" t="s">
        <v>297</v>
      </c>
      <c r="D100" s="39"/>
      <c r="E100" s="39"/>
      <c r="F100" s="39"/>
    </row>
    <row r="101" spans="3:8" x14ac:dyDescent="0.3">
      <c r="C101" s="38" t="s">
        <v>298</v>
      </c>
      <c r="D101" s="39"/>
      <c r="E101" s="39"/>
      <c r="F101" s="39"/>
    </row>
    <row r="102" spans="3:8" x14ac:dyDescent="0.3">
      <c r="C102" s="38" t="s">
        <v>220</v>
      </c>
      <c r="D102" s="39"/>
      <c r="E102" s="39"/>
      <c r="F102" s="39"/>
    </row>
    <row r="103" spans="3:8" x14ac:dyDescent="0.3">
      <c r="C103" s="38" t="s">
        <v>299</v>
      </c>
      <c r="D103" s="39"/>
      <c r="E103" s="39"/>
      <c r="F103" s="39"/>
      <c r="H103" s="35"/>
    </row>
    <row r="107" spans="3:8" x14ac:dyDescent="0.3">
      <c r="C107" s="35" t="s">
        <v>300</v>
      </c>
    </row>
    <row r="108" spans="3:8" x14ac:dyDescent="0.3">
      <c r="D108" s="35" t="s">
        <v>301</v>
      </c>
    </row>
    <row r="109" spans="3:8" x14ac:dyDescent="0.3">
      <c r="C109" s="40" t="s">
        <v>302</v>
      </c>
      <c r="D109" s="54" t="s">
        <v>303</v>
      </c>
      <c r="F109" s="55" t="s">
        <v>304</v>
      </c>
    </row>
    <row r="110" spans="3:8" x14ac:dyDescent="0.3">
      <c r="C110" s="39" t="s">
        <v>273</v>
      </c>
      <c r="D110" s="56"/>
      <c r="F110" s="35" t="s">
        <v>305</v>
      </c>
    </row>
    <row r="111" spans="3:8" x14ac:dyDescent="0.3">
      <c r="C111" s="39" t="s">
        <v>274</v>
      </c>
      <c r="D111" s="56"/>
      <c r="F111" s="35" t="s">
        <v>306</v>
      </c>
    </row>
    <row r="112" spans="3:8" x14ac:dyDescent="0.3">
      <c r="C112" s="39" t="s">
        <v>275</v>
      </c>
      <c r="D112" s="56"/>
      <c r="F112" s="35" t="s">
        <v>307</v>
      </c>
    </row>
    <row r="113" spans="1:10" x14ac:dyDescent="0.3">
      <c r="C113" s="39" t="s">
        <v>308</v>
      </c>
      <c r="D113" s="56"/>
      <c r="F113" s="35" t="s">
        <v>309</v>
      </c>
    </row>
    <row r="114" spans="1:10" x14ac:dyDescent="0.3">
      <c r="C114" s="39" t="s">
        <v>308</v>
      </c>
      <c r="D114" s="56"/>
    </row>
    <row r="115" spans="1:10" x14ac:dyDescent="0.3">
      <c r="C115" s="39" t="s">
        <v>310</v>
      </c>
      <c r="D115" s="56"/>
    </row>
    <row r="117" spans="1:10" x14ac:dyDescent="0.3">
      <c r="A117" t="s">
        <v>311</v>
      </c>
    </row>
    <row r="118" spans="1:10" x14ac:dyDescent="0.3">
      <c r="C118" s="35" t="s">
        <v>312</v>
      </c>
    </row>
    <row r="119" spans="1:10" x14ac:dyDescent="0.3">
      <c r="C119" s="35" t="s">
        <v>313</v>
      </c>
    </row>
    <row r="120" spans="1:10" x14ac:dyDescent="0.3">
      <c r="C120" s="37" t="s">
        <v>314</v>
      </c>
      <c r="D120" s="37">
        <v>1</v>
      </c>
    </row>
    <row r="121" spans="1:10" x14ac:dyDescent="0.3">
      <c r="C121" s="37" t="s">
        <v>315</v>
      </c>
      <c r="D121" s="37">
        <v>2</v>
      </c>
    </row>
    <row r="122" spans="1:10" x14ac:dyDescent="0.3">
      <c r="C122" s="37" t="s">
        <v>316</v>
      </c>
      <c r="D122" s="37">
        <v>3</v>
      </c>
    </row>
    <row r="123" spans="1:10" x14ac:dyDescent="0.3">
      <c r="C123" s="37" t="s">
        <v>317</v>
      </c>
      <c r="D123" s="37">
        <v>4</v>
      </c>
    </row>
    <row r="125" spans="1:10" x14ac:dyDescent="0.3">
      <c r="E125" s="126" t="s">
        <v>318</v>
      </c>
      <c r="F125" s="126"/>
      <c r="G125" s="126" t="s">
        <v>319</v>
      </c>
      <c r="H125" s="126"/>
      <c r="I125" s="126" t="s">
        <v>320</v>
      </c>
      <c r="J125" s="126"/>
    </row>
    <row r="126" spans="1:10" x14ac:dyDescent="0.3">
      <c r="C126" s="39" t="s">
        <v>302</v>
      </c>
      <c r="D126" s="37" t="s">
        <v>303</v>
      </c>
      <c r="E126" s="37" t="s">
        <v>321</v>
      </c>
      <c r="F126" s="37" t="s">
        <v>322</v>
      </c>
      <c r="G126" s="37" t="s">
        <v>321</v>
      </c>
      <c r="H126" s="37" t="s">
        <v>322</v>
      </c>
      <c r="I126" s="37" t="s">
        <v>321</v>
      </c>
      <c r="J126" s="37" t="s">
        <v>322</v>
      </c>
    </row>
    <row r="127" spans="1:10" x14ac:dyDescent="0.3">
      <c r="C127" s="39" t="s">
        <v>273</v>
      </c>
      <c r="D127" s="56"/>
      <c r="E127" s="56"/>
      <c r="F127" s="56"/>
      <c r="G127" s="57"/>
      <c r="H127" s="57"/>
      <c r="I127" s="57"/>
      <c r="J127" s="57"/>
    </row>
    <row r="128" spans="1:10" x14ac:dyDescent="0.3">
      <c r="C128" s="39" t="s">
        <v>274</v>
      </c>
      <c r="D128" s="56"/>
      <c r="E128" s="56"/>
      <c r="F128" s="56"/>
      <c r="G128" s="57"/>
      <c r="H128" s="57"/>
      <c r="I128" s="57"/>
      <c r="J128" s="57"/>
    </row>
    <row r="129" spans="3:10" x14ac:dyDescent="0.3">
      <c r="C129" s="39" t="s">
        <v>275</v>
      </c>
      <c r="D129" s="56"/>
      <c r="E129" s="56"/>
      <c r="F129" s="56"/>
      <c r="G129" s="57"/>
      <c r="H129" s="57"/>
      <c r="I129" s="57"/>
      <c r="J129" s="57"/>
    </row>
    <row r="130" spans="3:10" x14ac:dyDescent="0.3">
      <c r="C130" s="39" t="s">
        <v>276</v>
      </c>
      <c r="D130" s="56"/>
      <c r="E130" s="56"/>
      <c r="F130" s="56"/>
      <c r="G130" s="57"/>
      <c r="H130" s="57"/>
      <c r="I130" s="57"/>
      <c r="J130" s="57"/>
    </row>
    <row r="131" spans="3:10" x14ac:dyDescent="0.3">
      <c r="C131" s="39" t="s">
        <v>277</v>
      </c>
      <c r="D131" s="56"/>
      <c r="E131" s="56"/>
      <c r="F131" s="56"/>
      <c r="G131" s="57"/>
      <c r="H131" s="57"/>
      <c r="I131" s="57"/>
      <c r="J131" s="57"/>
    </row>
    <row r="132" spans="3:10" x14ac:dyDescent="0.3">
      <c r="C132" s="39" t="s">
        <v>278</v>
      </c>
      <c r="D132" s="56"/>
      <c r="E132" s="56"/>
      <c r="F132" s="56"/>
      <c r="G132" s="57"/>
      <c r="H132" s="57"/>
      <c r="I132" s="57"/>
      <c r="J132" s="57"/>
    </row>
    <row r="133" spans="3:10" x14ac:dyDescent="0.3">
      <c r="E133" s="58" t="s">
        <v>323</v>
      </c>
      <c r="F133" s="56"/>
      <c r="G133" s="58" t="s">
        <v>323</v>
      </c>
      <c r="H133" s="56"/>
      <c r="I133" s="58" t="s">
        <v>323</v>
      </c>
      <c r="J133" s="56"/>
    </row>
    <row r="135" spans="3:10" x14ac:dyDescent="0.3">
      <c r="C135" s="35"/>
      <c r="D135" s="35"/>
    </row>
    <row r="136" spans="3:10" x14ac:dyDescent="0.3">
      <c r="C136" s="35"/>
      <c r="D136" s="35"/>
    </row>
    <row r="141" spans="3:10" x14ac:dyDescent="0.3">
      <c r="C141" s="35"/>
      <c r="D141" s="35"/>
    </row>
  </sheetData>
  <mergeCells count="12">
    <mergeCell ref="I125:J125"/>
    <mergeCell ref="C8:G9"/>
    <mergeCell ref="E51:G51"/>
    <mergeCell ref="C54:C56"/>
    <mergeCell ref="C57:C58"/>
    <mergeCell ref="C64:C66"/>
    <mergeCell ref="F75:I75"/>
    <mergeCell ref="C77:C79"/>
    <mergeCell ref="C82:C84"/>
    <mergeCell ref="C87:C89"/>
    <mergeCell ref="E125:F125"/>
    <mergeCell ref="G125:H12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0116-B3AA-494F-8B28-F563D88D56CD}">
  <sheetPr codeName="Hoja8">
    <tabColor theme="5" tint="0.39997558519241921"/>
  </sheetPr>
  <dimension ref="D1:I59"/>
  <sheetViews>
    <sheetView workbookViewId="0">
      <selection activeCell="D1" sqref="D1"/>
    </sheetView>
  </sheetViews>
  <sheetFormatPr baseColWidth="10" defaultColWidth="9.109375" defaultRowHeight="14.4" x14ac:dyDescent="0.3"/>
  <cols>
    <col min="4" max="4" width="34.109375" customWidth="1"/>
    <col min="5" max="7" width="36.33203125" customWidth="1"/>
    <col min="8" max="8" width="35.88671875" bestFit="1" customWidth="1"/>
    <col min="9" max="9" width="21.88671875" customWidth="1"/>
  </cols>
  <sheetData>
    <row r="1" spans="4:5" x14ac:dyDescent="0.3">
      <c r="D1" s="78" t="s">
        <v>0</v>
      </c>
    </row>
    <row r="2" spans="4:5" ht="21" x14ac:dyDescent="0.4">
      <c r="D2" s="67" t="s">
        <v>324</v>
      </c>
    </row>
    <row r="3" spans="4:5" ht="69" x14ac:dyDescent="0.3">
      <c r="D3" s="70" t="s">
        <v>35</v>
      </c>
      <c r="E3" s="68" t="s">
        <v>325</v>
      </c>
    </row>
    <row r="4" spans="4:5" ht="27.6" x14ac:dyDescent="0.3">
      <c r="D4" s="125" t="s">
        <v>55</v>
      </c>
      <c r="E4" s="69" t="s">
        <v>326</v>
      </c>
    </row>
    <row r="5" spans="4:5" x14ac:dyDescent="0.3">
      <c r="D5" s="125"/>
      <c r="E5" s="69" t="s">
        <v>327</v>
      </c>
    </row>
    <row r="6" spans="4:5" x14ac:dyDescent="0.3">
      <c r="D6" s="125"/>
      <c r="E6" s="69" t="s">
        <v>328</v>
      </c>
    </row>
    <row r="7" spans="4:5" ht="27.6" x14ac:dyDescent="0.3">
      <c r="D7" s="125"/>
      <c r="E7" s="73" t="s">
        <v>329</v>
      </c>
    </row>
    <row r="8" spans="4:5" x14ac:dyDescent="0.3">
      <c r="D8" s="70" t="s">
        <v>56</v>
      </c>
      <c r="E8" s="71" t="s">
        <v>330</v>
      </c>
    </row>
    <row r="13" spans="4:5" ht="23.4" x14ac:dyDescent="0.3">
      <c r="D13" s="20" t="s">
        <v>331</v>
      </c>
    </row>
    <row r="14" spans="4:5" ht="18" x14ac:dyDescent="0.3">
      <c r="D14" s="21" t="s">
        <v>332</v>
      </c>
    </row>
    <row r="15" spans="4:5" ht="18" x14ac:dyDescent="0.3">
      <c r="D15" s="21"/>
    </row>
    <row r="16" spans="4:5" x14ac:dyDescent="0.3">
      <c r="D16" s="1" t="s">
        <v>333</v>
      </c>
    </row>
    <row r="17" spans="4:7" x14ac:dyDescent="0.3">
      <c r="D17" s="9" t="s">
        <v>58</v>
      </c>
      <c r="E17" s="9" t="s">
        <v>59</v>
      </c>
      <c r="F17" s="9" t="s">
        <v>60</v>
      </c>
      <c r="G17" s="9" t="s">
        <v>61</v>
      </c>
    </row>
    <row r="18" spans="4:7" ht="69" x14ac:dyDescent="0.3">
      <c r="D18" s="14" t="s">
        <v>334</v>
      </c>
      <c r="E18" s="7" t="s">
        <v>335</v>
      </c>
      <c r="F18" s="7" t="s">
        <v>336</v>
      </c>
      <c r="G18" s="7" t="s">
        <v>337</v>
      </c>
    </row>
    <row r="19" spans="4:7" ht="55.2" x14ac:dyDescent="0.3">
      <c r="D19" s="14" t="s">
        <v>338</v>
      </c>
      <c r="E19" s="7" t="s">
        <v>339</v>
      </c>
      <c r="F19" s="7" t="s">
        <v>340</v>
      </c>
      <c r="G19" s="7" t="s">
        <v>341</v>
      </c>
    </row>
    <row r="20" spans="4:7" ht="55.2" x14ac:dyDescent="0.3">
      <c r="D20" s="14" t="s">
        <v>342</v>
      </c>
      <c r="E20" s="7" t="s">
        <v>343</v>
      </c>
      <c r="F20" s="7" t="s">
        <v>344</v>
      </c>
      <c r="G20" s="7" t="s">
        <v>345</v>
      </c>
    </row>
    <row r="21" spans="4:7" ht="110.4" x14ac:dyDescent="0.3">
      <c r="D21" s="14" t="s">
        <v>167</v>
      </c>
      <c r="E21" s="7" t="s">
        <v>346</v>
      </c>
      <c r="F21" s="7" t="s">
        <v>347</v>
      </c>
      <c r="G21" s="7" t="s">
        <v>348</v>
      </c>
    </row>
    <row r="23" spans="4:7" x14ac:dyDescent="0.3">
      <c r="D23" s="34" t="s">
        <v>349</v>
      </c>
    </row>
    <row r="24" spans="4:7" x14ac:dyDescent="0.3">
      <c r="D24" t="s">
        <v>350</v>
      </c>
    </row>
    <row r="25" spans="4:7" x14ac:dyDescent="0.3">
      <c r="D25" t="s">
        <v>351</v>
      </c>
    </row>
    <row r="26" spans="4:7" x14ac:dyDescent="0.3">
      <c r="D26" t="s">
        <v>352</v>
      </c>
    </row>
    <row r="27" spans="4:7" x14ac:dyDescent="0.3">
      <c r="D27" t="s">
        <v>353</v>
      </c>
    </row>
    <row r="50" spans="6:9" x14ac:dyDescent="0.3">
      <c r="F50" s="63" t="s">
        <v>354</v>
      </c>
      <c r="G50" s="82"/>
      <c r="H50" s="82"/>
      <c r="I50" s="82"/>
    </row>
    <row r="51" spans="6:9" x14ac:dyDescent="0.3">
      <c r="F51" s="64" t="s">
        <v>116</v>
      </c>
      <c r="G51" s="64" t="s">
        <v>355</v>
      </c>
      <c r="H51" s="64" t="s">
        <v>356</v>
      </c>
      <c r="I51" s="64" t="s">
        <v>357</v>
      </c>
    </row>
    <row r="52" spans="6:9" ht="111" customHeight="1" x14ac:dyDescent="0.3">
      <c r="F52" s="83" t="s">
        <v>358</v>
      </c>
      <c r="G52" s="83" t="s">
        <v>359</v>
      </c>
      <c r="H52" s="84" t="s">
        <v>360</v>
      </c>
      <c r="I52" s="61" t="s">
        <v>361</v>
      </c>
    </row>
    <row r="53" spans="6:9" ht="129.75" customHeight="1" x14ac:dyDescent="0.3">
      <c r="F53" s="83" t="s">
        <v>362</v>
      </c>
      <c r="G53" s="84" t="s">
        <v>363</v>
      </c>
      <c r="H53" s="61" t="s">
        <v>364</v>
      </c>
      <c r="I53" s="61" t="s">
        <v>365</v>
      </c>
    </row>
    <row r="56" spans="6:9" x14ac:dyDescent="0.3">
      <c r="F56" s="1" t="s">
        <v>366</v>
      </c>
    </row>
    <row r="57" spans="6:9" x14ac:dyDescent="0.3">
      <c r="F57" s="62" t="s">
        <v>367</v>
      </c>
      <c r="G57" s="62" t="s">
        <v>368</v>
      </c>
      <c r="H57" s="62" t="s">
        <v>369</v>
      </c>
    </row>
    <row r="58" spans="6:9" ht="86.4" x14ac:dyDescent="0.3">
      <c r="F58" s="59" t="s">
        <v>370</v>
      </c>
      <c r="G58" s="60" t="s">
        <v>371</v>
      </c>
      <c r="H58" s="60" t="s">
        <v>372</v>
      </c>
    </row>
    <row r="59" spans="6:9" ht="86.4" x14ac:dyDescent="0.3">
      <c r="F59" s="59" t="s">
        <v>373</v>
      </c>
      <c r="G59" s="84" t="s">
        <v>374</v>
      </c>
      <c r="H59" s="61" t="s">
        <v>375</v>
      </c>
    </row>
  </sheetData>
  <mergeCells count="1">
    <mergeCell ref="D4:D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DD5A-6325-4577-87C9-6AE08E2D1783}">
  <dimension ref="C2:L25"/>
  <sheetViews>
    <sheetView topLeftCell="A19" workbookViewId="0">
      <selection activeCell="F21" sqref="F21"/>
    </sheetView>
  </sheetViews>
  <sheetFormatPr baseColWidth="10" defaultColWidth="11.44140625" defaultRowHeight="14.4" x14ac:dyDescent="0.3"/>
  <cols>
    <col min="4" max="4" width="16.6640625" customWidth="1"/>
    <col min="5" max="5" width="18.5546875" customWidth="1"/>
    <col min="6" max="6" width="58.109375" customWidth="1"/>
    <col min="7" max="7" width="33.44140625" customWidth="1"/>
    <col min="8" max="8" width="22.5546875" customWidth="1"/>
    <col min="9" max="9" width="16.109375" customWidth="1"/>
    <col min="10" max="10" width="16.109375" bestFit="1" customWidth="1"/>
    <col min="11" max="11" width="25.88671875" customWidth="1"/>
  </cols>
  <sheetData>
    <row r="2" spans="3:3" x14ac:dyDescent="0.3">
      <c r="C2" t="s">
        <v>376</v>
      </c>
    </row>
    <row r="3" spans="3:3" x14ac:dyDescent="0.3">
      <c r="C3" t="s">
        <v>377</v>
      </c>
    </row>
    <row r="4" spans="3:3" x14ac:dyDescent="0.3">
      <c r="C4" t="s">
        <v>378</v>
      </c>
    </row>
    <row r="5" spans="3:3" x14ac:dyDescent="0.3">
      <c r="C5" t="s">
        <v>379</v>
      </c>
    </row>
    <row r="6" spans="3:3" x14ac:dyDescent="0.3">
      <c r="C6" t="s">
        <v>380</v>
      </c>
    </row>
    <row r="7" spans="3:3" x14ac:dyDescent="0.3">
      <c r="C7" t="s">
        <v>381</v>
      </c>
    </row>
    <row r="9" spans="3:3" x14ac:dyDescent="0.3">
      <c r="C9" t="s">
        <v>382</v>
      </c>
    </row>
    <row r="10" spans="3:3" x14ac:dyDescent="0.3">
      <c r="C10" t="s">
        <v>383</v>
      </c>
    </row>
    <row r="17" spans="3:12" x14ac:dyDescent="0.3">
      <c r="C17" t="s">
        <v>384</v>
      </c>
    </row>
    <row r="18" spans="3:12" x14ac:dyDescent="0.3">
      <c r="C18" t="s">
        <v>385</v>
      </c>
      <c r="L18" s="65"/>
    </row>
    <row r="20" spans="3:12" ht="27.6" x14ac:dyDescent="0.3">
      <c r="C20" s="15" t="s">
        <v>386</v>
      </c>
      <c r="D20" s="15" t="s">
        <v>116</v>
      </c>
      <c r="E20" s="15" t="s">
        <v>387</v>
      </c>
      <c r="F20" s="15" t="s">
        <v>388</v>
      </c>
      <c r="G20" s="15" t="s">
        <v>389</v>
      </c>
      <c r="H20" s="15" t="s">
        <v>390</v>
      </c>
      <c r="I20" s="15" t="s">
        <v>391</v>
      </c>
      <c r="J20" s="15" t="s">
        <v>392</v>
      </c>
      <c r="K20" s="15" t="s">
        <v>393</v>
      </c>
    </row>
    <row r="21" spans="3:12" ht="96" x14ac:dyDescent="0.3">
      <c r="C21" s="66" t="s">
        <v>394</v>
      </c>
      <c r="D21" s="66" t="s">
        <v>395</v>
      </c>
      <c r="E21" s="66" t="s">
        <v>396</v>
      </c>
      <c r="F21" s="66" t="s">
        <v>397</v>
      </c>
      <c r="G21" s="66" t="s">
        <v>398</v>
      </c>
      <c r="H21" s="66" t="s">
        <v>399</v>
      </c>
      <c r="I21" s="66" t="s">
        <v>400</v>
      </c>
      <c r="J21" s="66" t="s">
        <v>401</v>
      </c>
      <c r="K21" s="66" t="s">
        <v>402</v>
      </c>
    </row>
    <row r="22" spans="3:12" x14ac:dyDescent="0.3">
      <c r="C22" s="66"/>
      <c r="D22" s="66"/>
      <c r="E22" s="66"/>
      <c r="F22" s="66"/>
      <c r="G22" s="66"/>
      <c r="H22" s="66"/>
      <c r="I22" s="66"/>
      <c r="J22" s="66"/>
      <c r="K22" s="66"/>
    </row>
    <row r="23" spans="3:12" x14ac:dyDescent="0.3">
      <c r="C23" s="66"/>
      <c r="D23" s="66"/>
      <c r="E23" s="66"/>
      <c r="F23" s="66"/>
      <c r="G23" s="66"/>
      <c r="H23" s="66"/>
      <c r="I23" s="66"/>
      <c r="J23" s="66"/>
      <c r="K23" s="66"/>
    </row>
    <row r="24" spans="3:12" x14ac:dyDescent="0.3">
      <c r="C24" s="66"/>
      <c r="D24" s="66"/>
      <c r="E24" s="66"/>
      <c r="F24" s="66"/>
      <c r="G24" s="66"/>
      <c r="H24" s="66"/>
      <c r="I24" s="66"/>
      <c r="J24" s="66"/>
      <c r="K24" s="66"/>
    </row>
    <row r="25" spans="3:12" x14ac:dyDescent="0.3">
      <c r="C25" s="66"/>
      <c r="D25" s="66"/>
      <c r="E25" s="66"/>
      <c r="F25" s="66"/>
      <c r="G25" s="66"/>
      <c r="H25" s="66"/>
      <c r="I25" s="66"/>
      <c r="J25" s="66"/>
      <c r="K25" s="66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EB5FD-875D-4165-B0BC-5FA4309ABCF7}">
  <sheetPr codeName="Hoja9"/>
  <dimension ref="D2:E8"/>
  <sheetViews>
    <sheetView workbookViewId="0">
      <selection activeCell="E8" sqref="E8"/>
    </sheetView>
  </sheetViews>
  <sheetFormatPr baseColWidth="10" defaultColWidth="9.109375" defaultRowHeight="14.4" x14ac:dyDescent="0.3"/>
  <sheetData>
    <row r="2" spans="4:5" x14ac:dyDescent="0.3">
      <c r="D2" t="s">
        <v>403</v>
      </c>
    </row>
    <row r="3" spans="4:5" x14ac:dyDescent="0.3">
      <c r="E3" t="s">
        <v>404</v>
      </c>
    </row>
    <row r="4" spans="4:5" x14ac:dyDescent="0.3">
      <c r="E4" t="s">
        <v>405</v>
      </c>
    </row>
    <row r="5" spans="4:5" x14ac:dyDescent="0.3">
      <c r="E5" t="s">
        <v>406</v>
      </c>
    </row>
    <row r="6" spans="4:5" x14ac:dyDescent="0.3">
      <c r="E6" t="s">
        <v>407</v>
      </c>
    </row>
    <row r="7" spans="4:5" x14ac:dyDescent="0.3">
      <c r="E7" t="s">
        <v>408</v>
      </c>
    </row>
    <row r="8" spans="4:5" x14ac:dyDescent="0.3">
      <c r="E8" s="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1B70C-1C6D-4E75-8F5A-37BE8D2556F0}">
  <sheetPr codeName="Hoja10">
    <tabColor rgb="FF7030A0"/>
    <pageSetUpPr fitToPage="1"/>
  </sheetPr>
  <dimension ref="B1:E48"/>
  <sheetViews>
    <sheetView workbookViewId="0">
      <selection activeCell="B1" sqref="B1"/>
    </sheetView>
  </sheetViews>
  <sheetFormatPr baseColWidth="10" defaultColWidth="11.44140625" defaultRowHeight="14.4" x14ac:dyDescent="0.3"/>
  <cols>
    <col min="1" max="1" width="1.88671875" customWidth="1"/>
    <col min="2" max="5" width="36.33203125" customWidth="1"/>
  </cols>
  <sheetData>
    <row r="1" spans="2:5" x14ac:dyDescent="0.3">
      <c r="B1" s="74" t="s">
        <v>39</v>
      </c>
    </row>
    <row r="2" spans="2:5" ht="21" x14ac:dyDescent="0.4">
      <c r="B2" s="138" t="s">
        <v>409</v>
      </c>
      <c r="C2" s="139"/>
    </row>
    <row r="3" spans="2:5" ht="41.4" x14ac:dyDescent="0.3">
      <c r="B3" s="70" t="s">
        <v>35</v>
      </c>
      <c r="C3" s="68" t="s">
        <v>410</v>
      </c>
    </row>
    <row r="4" spans="2:5" ht="27.6" x14ac:dyDescent="0.3">
      <c r="B4" s="140" t="s">
        <v>55</v>
      </c>
      <c r="C4" s="75" t="s">
        <v>411</v>
      </c>
    </row>
    <row r="5" spans="2:5" x14ac:dyDescent="0.3">
      <c r="B5" s="140"/>
      <c r="C5" s="76" t="s">
        <v>412</v>
      </c>
    </row>
    <row r="6" spans="2:5" x14ac:dyDescent="0.3">
      <c r="B6" s="140"/>
      <c r="C6" s="76" t="s">
        <v>328</v>
      </c>
    </row>
    <row r="7" spans="2:5" ht="27.6" x14ac:dyDescent="0.3">
      <c r="B7" s="140"/>
      <c r="C7" s="76" t="s">
        <v>329</v>
      </c>
    </row>
    <row r="8" spans="2:5" x14ac:dyDescent="0.3">
      <c r="B8" s="140"/>
      <c r="C8" s="77" t="s">
        <v>413</v>
      </c>
    </row>
    <row r="9" spans="2:5" x14ac:dyDescent="0.3">
      <c r="B9" s="70" t="s">
        <v>56</v>
      </c>
      <c r="C9" s="71" t="s">
        <v>414</v>
      </c>
    </row>
    <row r="13" spans="2:5" ht="30.75" customHeight="1" x14ac:dyDescent="0.3">
      <c r="B13" s="141" t="s">
        <v>415</v>
      </c>
      <c r="C13" s="141"/>
      <c r="D13" s="141"/>
      <c r="E13" s="141"/>
    </row>
    <row r="14" spans="2:5" ht="28.8" x14ac:dyDescent="0.3">
      <c r="B14" s="28" t="s">
        <v>416</v>
      </c>
      <c r="C14" s="28"/>
      <c r="D14" s="28"/>
      <c r="E14" s="28"/>
    </row>
    <row r="15" spans="2:5" ht="28.8" x14ac:dyDescent="0.3">
      <c r="B15" s="28" t="s">
        <v>417</v>
      </c>
      <c r="C15" s="28"/>
      <c r="D15" s="28"/>
      <c r="E15" s="28"/>
    </row>
    <row r="16" spans="2:5" x14ac:dyDescent="0.3">
      <c r="B16" s="29" t="s">
        <v>418</v>
      </c>
    </row>
    <row r="17" spans="2:5" x14ac:dyDescent="0.3">
      <c r="B17" t="s">
        <v>419</v>
      </c>
    </row>
    <row r="19" spans="2:5" x14ac:dyDescent="0.3">
      <c r="B19" s="1" t="s">
        <v>420</v>
      </c>
    </row>
    <row r="20" spans="2:5" x14ac:dyDescent="0.3">
      <c r="B20" s="9" t="s">
        <v>58</v>
      </c>
      <c r="C20" s="9" t="s">
        <v>59</v>
      </c>
      <c r="D20" s="9" t="s">
        <v>60</v>
      </c>
      <c r="E20" s="9" t="s">
        <v>61</v>
      </c>
    </row>
    <row r="21" spans="2:5" ht="69" x14ac:dyDescent="0.3">
      <c r="B21" s="30" t="s">
        <v>421</v>
      </c>
      <c r="C21" s="31" t="s">
        <v>422</v>
      </c>
      <c r="D21" s="31" t="s">
        <v>423</v>
      </c>
      <c r="E21" s="31" t="s">
        <v>424</v>
      </c>
    </row>
    <row r="22" spans="2:5" ht="55.2" x14ac:dyDescent="0.3">
      <c r="B22" s="30" t="s">
        <v>425</v>
      </c>
      <c r="C22" s="31" t="s">
        <v>426</v>
      </c>
      <c r="D22" s="31" t="s">
        <v>427</v>
      </c>
      <c r="E22" s="31" t="s">
        <v>428</v>
      </c>
    </row>
    <row r="23" spans="2:5" ht="69" x14ac:dyDescent="0.3">
      <c r="B23" s="30" t="s">
        <v>429</v>
      </c>
      <c r="C23" s="31" t="s">
        <v>430</v>
      </c>
      <c r="D23" s="31" t="s">
        <v>431</v>
      </c>
      <c r="E23" s="31" t="s">
        <v>432</v>
      </c>
    </row>
    <row r="24" spans="2:5" ht="110.4" x14ac:dyDescent="0.3">
      <c r="B24" s="30" t="s">
        <v>433</v>
      </c>
      <c r="C24" s="31" t="s">
        <v>346</v>
      </c>
      <c r="D24" s="31" t="s">
        <v>434</v>
      </c>
      <c r="E24" s="31" t="s">
        <v>348</v>
      </c>
    </row>
    <row r="26" spans="2:5" ht="18" x14ac:dyDescent="0.3">
      <c r="B26" s="32" t="s">
        <v>435</v>
      </c>
    </row>
    <row r="28" spans="2:5" ht="15.6" x14ac:dyDescent="0.3">
      <c r="B28" s="16" t="s">
        <v>436</v>
      </c>
      <c r="D28" s="16" t="s">
        <v>437</v>
      </c>
    </row>
    <row r="29" spans="2:5" x14ac:dyDescent="0.3">
      <c r="B29" s="33"/>
      <c r="D29" s="33"/>
    </row>
    <row r="30" spans="2:5" x14ac:dyDescent="0.3">
      <c r="B30" s="135" t="s">
        <v>438</v>
      </c>
      <c r="C30" s="135"/>
      <c r="D30" s="135" t="s">
        <v>439</v>
      </c>
      <c r="E30" s="135"/>
    </row>
    <row r="31" spans="2:5" x14ac:dyDescent="0.3">
      <c r="B31" s="135" t="s">
        <v>440</v>
      </c>
      <c r="C31" s="135"/>
      <c r="D31" s="135" t="s">
        <v>441</v>
      </c>
      <c r="E31" s="135"/>
    </row>
    <row r="32" spans="2:5" x14ac:dyDescent="0.3">
      <c r="B32" s="135" t="s">
        <v>442</v>
      </c>
      <c r="C32" s="135"/>
      <c r="D32" s="135" t="s">
        <v>443</v>
      </c>
      <c r="E32" s="135"/>
    </row>
    <row r="33" spans="2:5" x14ac:dyDescent="0.3">
      <c r="B33" s="135" t="s">
        <v>444</v>
      </c>
      <c r="C33" s="135"/>
      <c r="D33" s="135" t="s">
        <v>445</v>
      </c>
      <c r="E33" s="135"/>
    </row>
    <row r="34" spans="2:5" x14ac:dyDescent="0.3">
      <c r="B34" s="135" t="s">
        <v>446</v>
      </c>
      <c r="C34" s="135"/>
      <c r="D34" s="135" t="s">
        <v>447</v>
      </c>
      <c r="E34" s="135"/>
    </row>
    <row r="35" spans="2:5" x14ac:dyDescent="0.3">
      <c r="B35" s="135" t="s">
        <v>448</v>
      </c>
      <c r="C35" s="135"/>
      <c r="D35" s="135" t="s">
        <v>449</v>
      </c>
      <c r="E35" s="135"/>
    </row>
    <row r="36" spans="2:5" x14ac:dyDescent="0.3">
      <c r="D36" s="137"/>
      <c r="E36" s="137"/>
    </row>
    <row r="37" spans="2:5" ht="15.6" x14ac:dyDescent="0.3">
      <c r="B37" s="16" t="s">
        <v>450</v>
      </c>
      <c r="D37" s="16" t="s">
        <v>451</v>
      </c>
      <c r="E37" s="1"/>
    </row>
    <row r="38" spans="2:5" x14ac:dyDescent="0.3">
      <c r="B38" s="33"/>
      <c r="D38" s="33"/>
    </row>
    <row r="39" spans="2:5" x14ac:dyDescent="0.3">
      <c r="B39" s="135" t="s">
        <v>452</v>
      </c>
      <c r="C39" s="135"/>
      <c r="D39" s="136" t="s">
        <v>453</v>
      </c>
      <c r="E39" s="136"/>
    </row>
    <row r="40" spans="2:5" x14ac:dyDescent="0.3">
      <c r="B40" s="135" t="s">
        <v>454</v>
      </c>
      <c r="C40" s="135"/>
      <c r="D40" s="136"/>
      <c r="E40" s="136"/>
    </row>
    <row r="41" spans="2:5" x14ac:dyDescent="0.3">
      <c r="B41" s="135" t="s">
        <v>455</v>
      </c>
      <c r="C41" s="135"/>
      <c r="D41" s="136" t="s">
        <v>456</v>
      </c>
      <c r="E41" s="136"/>
    </row>
    <row r="42" spans="2:5" x14ac:dyDescent="0.3">
      <c r="B42" s="135" t="s">
        <v>457</v>
      </c>
      <c r="C42" s="135"/>
      <c r="D42" s="136"/>
      <c r="E42" s="136"/>
    </row>
    <row r="43" spans="2:5" x14ac:dyDescent="0.3">
      <c r="B43" s="135" t="s">
        <v>458</v>
      </c>
      <c r="C43" s="135"/>
      <c r="D43" s="136" t="s">
        <v>459</v>
      </c>
      <c r="E43" s="136"/>
    </row>
    <row r="44" spans="2:5" x14ac:dyDescent="0.3">
      <c r="B44" s="135" t="s">
        <v>460</v>
      </c>
      <c r="C44" s="135"/>
      <c r="D44" s="136"/>
      <c r="E44" s="136"/>
    </row>
    <row r="45" spans="2:5" x14ac:dyDescent="0.3">
      <c r="D45" s="136" t="s">
        <v>461</v>
      </c>
      <c r="E45" s="136"/>
    </row>
    <row r="46" spans="2:5" x14ac:dyDescent="0.3">
      <c r="D46" s="136"/>
      <c r="E46" s="136"/>
    </row>
    <row r="47" spans="2:5" x14ac:dyDescent="0.3">
      <c r="D47" s="136" t="s">
        <v>462</v>
      </c>
      <c r="E47" s="136"/>
    </row>
    <row r="48" spans="2:5" x14ac:dyDescent="0.3">
      <c r="D48" s="136"/>
      <c r="E48" s="136"/>
    </row>
  </sheetData>
  <mergeCells count="27">
    <mergeCell ref="B2:C2"/>
    <mergeCell ref="B4:B8"/>
    <mergeCell ref="B32:C32"/>
    <mergeCell ref="D32:E32"/>
    <mergeCell ref="B13:E13"/>
    <mergeCell ref="B30:C30"/>
    <mergeCell ref="D30:E30"/>
    <mergeCell ref="B31:C31"/>
    <mergeCell ref="D31:E31"/>
    <mergeCell ref="B33:C33"/>
    <mergeCell ref="D33:E33"/>
    <mergeCell ref="B34:C34"/>
    <mergeCell ref="D34:E34"/>
    <mergeCell ref="B35:C35"/>
    <mergeCell ref="D35:E35"/>
    <mergeCell ref="D36:E36"/>
    <mergeCell ref="B39:C39"/>
    <mergeCell ref="D39:E40"/>
    <mergeCell ref="B40:C40"/>
    <mergeCell ref="B41:C41"/>
    <mergeCell ref="D41:E42"/>
    <mergeCell ref="B42:C42"/>
    <mergeCell ref="B43:C43"/>
    <mergeCell ref="D43:E44"/>
    <mergeCell ref="B44:C44"/>
    <mergeCell ref="D45:E46"/>
    <mergeCell ref="D47:E48"/>
  </mergeCells>
  <pageMargins left="0.7" right="0.7" top="0.75" bottom="0.75" header="0.3" footer="0.3"/>
  <pageSetup scale="61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50722-0D6A-464A-9A08-6E992E73ED40}">
  <sheetPr codeName="Hoja11">
    <tabColor rgb="FF7030A0"/>
  </sheetPr>
  <dimension ref="B1:E17"/>
  <sheetViews>
    <sheetView zoomScale="85" zoomScaleNormal="85" workbookViewId="0">
      <selection activeCell="B3" sqref="B3"/>
    </sheetView>
  </sheetViews>
  <sheetFormatPr baseColWidth="10" defaultColWidth="11.44140625" defaultRowHeight="14.4" x14ac:dyDescent="0.3"/>
  <cols>
    <col min="2" max="5" width="36.33203125" customWidth="1"/>
  </cols>
  <sheetData>
    <row r="1" spans="2:5" x14ac:dyDescent="0.3">
      <c r="B1" s="74" t="s">
        <v>39</v>
      </c>
    </row>
    <row r="2" spans="2:5" ht="21" x14ac:dyDescent="0.4">
      <c r="B2" s="139" t="s">
        <v>463</v>
      </c>
      <c r="C2" s="139"/>
    </row>
    <row r="3" spans="2:5" ht="41.4" x14ac:dyDescent="0.3">
      <c r="B3" s="70" t="s">
        <v>35</v>
      </c>
      <c r="C3" s="68" t="s">
        <v>464</v>
      </c>
    </row>
    <row r="4" spans="2:5" x14ac:dyDescent="0.3">
      <c r="B4" s="140" t="s">
        <v>55</v>
      </c>
      <c r="C4" s="68" t="s">
        <v>465</v>
      </c>
    </row>
    <row r="5" spans="2:5" x14ac:dyDescent="0.3">
      <c r="B5" s="140"/>
      <c r="C5" s="69" t="s">
        <v>466</v>
      </c>
    </row>
    <row r="6" spans="2:5" ht="27.6" x14ac:dyDescent="0.3">
      <c r="B6" s="140"/>
      <c r="C6" s="69" t="s">
        <v>467</v>
      </c>
    </row>
    <row r="7" spans="2:5" x14ac:dyDescent="0.3">
      <c r="B7" s="140"/>
      <c r="C7" s="73" t="s">
        <v>468</v>
      </c>
    </row>
    <row r="8" spans="2:5" x14ac:dyDescent="0.3">
      <c r="B8" s="140"/>
      <c r="C8" s="77"/>
    </row>
    <row r="9" spans="2:5" x14ac:dyDescent="0.3">
      <c r="B9" s="70" t="s">
        <v>56</v>
      </c>
      <c r="C9" s="71" t="s">
        <v>469</v>
      </c>
    </row>
    <row r="12" spans="2:5" x14ac:dyDescent="0.3">
      <c r="B12" s="1" t="s">
        <v>470</v>
      </c>
    </row>
    <row r="13" spans="2:5" x14ac:dyDescent="0.3">
      <c r="B13" s="9" t="s">
        <v>58</v>
      </c>
      <c r="C13" s="9" t="s">
        <v>59</v>
      </c>
      <c r="D13" s="9" t="s">
        <v>60</v>
      </c>
      <c r="E13" s="9" t="s">
        <v>61</v>
      </c>
    </row>
    <row r="14" spans="2:5" ht="55.2" x14ac:dyDescent="0.3">
      <c r="B14" s="14" t="s">
        <v>471</v>
      </c>
      <c r="C14" s="7" t="s">
        <v>472</v>
      </c>
      <c r="D14" s="7" t="s">
        <v>473</v>
      </c>
      <c r="E14" s="7" t="s">
        <v>474</v>
      </c>
    </row>
    <row r="15" spans="2:5" ht="55.2" x14ac:dyDescent="0.3">
      <c r="B15" s="14" t="s">
        <v>475</v>
      </c>
      <c r="C15" s="7" t="s">
        <v>476</v>
      </c>
      <c r="D15" s="7" t="s">
        <v>477</v>
      </c>
      <c r="E15" s="7" t="s">
        <v>478</v>
      </c>
    </row>
    <row r="16" spans="2:5" ht="41.4" x14ac:dyDescent="0.3">
      <c r="B16" s="14" t="s">
        <v>479</v>
      </c>
      <c r="C16" s="7" t="s">
        <v>480</v>
      </c>
      <c r="D16" s="7" t="s">
        <v>481</v>
      </c>
      <c r="E16" s="7" t="s">
        <v>482</v>
      </c>
    </row>
    <row r="17" spans="2:5" ht="55.2" x14ac:dyDescent="0.3">
      <c r="B17" s="14" t="s">
        <v>483</v>
      </c>
      <c r="C17" s="7" t="s">
        <v>484</v>
      </c>
      <c r="D17" s="7" t="s">
        <v>485</v>
      </c>
      <c r="E17" s="7" t="s">
        <v>486</v>
      </c>
    </row>
  </sheetData>
  <mergeCells count="2">
    <mergeCell ref="B2:C2"/>
    <mergeCell ref="B4:B8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ED68B-34BC-4CA1-8909-BEA3B4DE752A}">
  <sheetPr codeName="Hoja12">
    <tabColor rgb="FF7030A0"/>
  </sheetPr>
  <dimension ref="B1:E15"/>
  <sheetViews>
    <sheetView workbookViewId="0">
      <selection activeCell="C16" sqref="C16"/>
    </sheetView>
  </sheetViews>
  <sheetFormatPr baseColWidth="10" defaultColWidth="11.44140625" defaultRowHeight="14.4" x14ac:dyDescent="0.3"/>
  <cols>
    <col min="2" max="5" width="36.33203125" customWidth="1"/>
  </cols>
  <sheetData>
    <row r="1" spans="2:5" x14ac:dyDescent="0.3">
      <c r="B1" s="74" t="s">
        <v>39</v>
      </c>
    </row>
    <row r="2" spans="2:5" ht="21" x14ac:dyDescent="0.4">
      <c r="B2" s="139" t="s">
        <v>487</v>
      </c>
      <c r="C2" s="139"/>
    </row>
    <row r="3" spans="2:5" ht="41.4" x14ac:dyDescent="0.3">
      <c r="B3" s="70" t="s">
        <v>35</v>
      </c>
      <c r="C3" s="68" t="s">
        <v>488</v>
      </c>
    </row>
    <row r="4" spans="2:5" ht="27.6" x14ac:dyDescent="0.3">
      <c r="B4" s="140" t="s">
        <v>55</v>
      </c>
      <c r="C4" s="68" t="s">
        <v>489</v>
      </c>
    </row>
    <row r="5" spans="2:5" ht="27.6" x14ac:dyDescent="0.3">
      <c r="B5" s="140"/>
      <c r="C5" s="69" t="s">
        <v>490</v>
      </c>
    </row>
    <row r="6" spans="2:5" x14ac:dyDescent="0.3">
      <c r="B6" s="140"/>
      <c r="C6" s="73" t="s">
        <v>491</v>
      </c>
    </row>
    <row r="7" spans="2:5" x14ac:dyDescent="0.3">
      <c r="B7" s="70" t="s">
        <v>56</v>
      </c>
      <c r="C7" s="71" t="s">
        <v>492</v>
      </c>
    </row>
    <row r="10" spans="2:5" x14ac:dyDescent="0.3">
      <c r="B10" s="1" t="s">
        <v>493</v>
      </c>
    </row>
    <row r="11" spans="2:5" x14ac:dyDescent="0.3">
      <c r="B11" s="9" t="s">
        <v>58</v>
      </c>
      <c r="C11" s="9" t="s">
        <v>59</v>
      </c>
      <c r="D11" s="9" t="s">
        <v>60</v>
      </c>
      <c r="E11" s="9" t="s">
        <v>61</v>
      </c>
    </row>
    <row r="12" spans="2:5" ht="69" x14ac:dyDescent="0.3">
      <c r="B12" s="14" t="s">
        <v>494</v>
      </c>
      <c r="C12" s="7" t="s">
        <v>495</v>
      </c>
      <c r="D12" s="7" t="s">
        <v>496</v>
      </c>
      <c r="E12" s="7" t="s">
        <v>497</v>
      </c>
    </row>
    <row r="13" spans="2:5" ht="82.8" x14ac:dyDescent="0.3">
      <c r="B13" s="14" t="s">
        <v>498</v>
      </c>
      <c r="C13" s="7" t="s">
        <v>499</v>
      </c>
      <c r="D13" s="7" t="s">
        <v>500</v>
      </c>
      <c r="E13" s="7" t="s">
        <v>501</v>
      </c>
    </row>
    <row r="14" spans="2:5" ht="69" x14ac:dyDescent="0.3">
      <c r="B14" s="14" t="s">
        <v>502</v>
      </c>
      <c r="C14" s="7" t="s">
        <v>503</v>
      </c>
      <c r="D14" s="7" t="s">
        <v>504</v>
      </c>
      <c r="E14" s="7" t="s">
        <v>505</v>
      </c>
    </row>
    <row r="15" spans="2:5" ht="82.8" x14ac:dyDescent="0.3">
      <c r="B15" s="14" t="s">
        <v>483</v>
      </c>
      <c r="C15" s="7" t="s">
        <v>506</v>
      </c>
      <c r="D15" s="7" t="s">
        <v>507</v>
      </c>
      <c r="E15" s="7" t="s">
        <v>508</v>
      </c>
    </row>
  </sheetData>
  <mergeCells count="2">
    <mergeCell ref="B2:C2"/>
    <mergeCell ref="B4:B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7a7313d-a430-41db-90a7-b3a1814480a9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025FD0EC8FBE44962E9AB8647668E9" ma:contentTypeVersion="18" ma:contentTypeDescription="Crear nuevo documento." ma:contentTypeScope="" ma:versionID="610cbff0d4d60c7feb7d50d436af89f1">
  <xsd:schema xmlns:xsd="http://www.w3.org/2001/XMLSchema" xmlns:xs="http://www.w3.org/2001/XMLSchema" xmlns:p="http://schemas.microsoft.com/office/2006/metadata/properties" xmlns:ns3="d7a7313d-a430-41db-90a7-b3a1814480a9" xmlns:ns4="bd6944ae-c7cf-48ea-940b-5f1944f5db58" targetNamespace="http://schemas.microsoft.com/office/2006/metadata/properties" ma:root="true" ma:fieldsID="142a26d3943b2a3f02fd21cd4dd11e60" ns3:_="" ns4:_="">
    <xsd:import namespace="d7a7313d-a430-41db-90a7-b3a1814480a9"/>
    <xsd:import namespace="bd6944ae-c7cf-48ea-940b-5f1944f5db5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EventHashCode" minOccurs="0"/>
                <xsd:element ref="ns3:MediaServiceGenerationTim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a7313d-a430-41db-90a7-b3a1814480a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4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5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6944ae-c7cf-48ea-940b-5f1944f5db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B7B171-6992-40B5-9B7F-4D9889382499}">
  <ds:schemaRefs>
    <ds:schemaRef ds:uri="bd6944ae-c7cf-48ea-940b-5f1944f5db58"/>
    <ds:schemaRef ds:uri="http://schemas.microsoft.com/office/infopath/2007/PartnerControls"/>
    <ds:schemaRef ds:uri="http://purl.org/dc/elements/1.1/"/>
    <ds:schemaRef ds:uri="d7a7313d-a430-41db-90a7-b3a1814480a9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B8569AA-81CE-42C3-8777-32E24353AE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a7313d-a430-41db-90a7-b3a1814480a9"/>
    <ds:schemaRef ds:uri="bd6944ae-c7cf-48ea-940b-5f1944f5d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7BD756-6B52-4A21-B397-07CEEC36D8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Timeline</vt:lpstr>
      <vt:lpstr>Index</vt:lpstr>
      <vt:lpstr>Inventory</vt:lpstr>
      <vt:lpstr>Mission</vt:lpstr>
      <vt:lpstr>System Requirements</vt:lpstr>
      <vt:lpstr>Alternatives</vt:lpstr>
      <vt:lpstr>System Definition</vt:lpstr>
      <vt:lpstr>Selection</vt:lpstr>
      <vt:lpstr>Preliminar Design</vt:lpstr>
      <vt:lpstr>Pre-CDR</vt:lpstr>
      <vt:lpstr>Planification</vt:lpstr>
      <vt:lpstr>Crítical Design</vt:lpstr>
      <vt:lpstr>Systems Integration</vt:lpstr>
      <vt:lpstr>Systems Operability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Ivan Jimenez - INTEC</dc:creator>
  <cp:keywords/>
  <dc:description/>
  <cp:lastModifiedBy>[Est - IMC] Jimenez Acosta, Reymildo</cp:lastModifiedBy>
  <cp:revision/>
  <dcterms:created xsi:type="dcterms:W3CDTF">2024-04-18T20:36:57Z</dcterms:created>
  <dcterms:modified xsi:type="dcterms:W3CDTF">2026-02-16T14:57:08Z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ContentTypeId" pid="2">
    <vt:lpwstr>0x01010079025FD0EC8FBE44962E9AB8647668E9</vt:lpwstr>
  </property>
  <property fmtid="{D5CDD505-2E9C-101B-9397-08002B2CF9AE}" name="NXPowerLiteLastOptimized" pid="3">
    <vt:lpwstr>424795</vt:lpwstr>
  </property>
  <property fmtid="{D5CDD505-2E9C-101B-9397-08002B2CF9AE}" name="NXPowerLiteSettings" pid="4">
    <vt:lpwstr>E7000400038000</vt:lpwstr>
  </property>
  <property fmtid="{D5CDD505-2E9C-101B-9397-08002B2CF9AE}" name="NXPowerLiteVersion" pid="5">
    <vt:lpwstr>S10.9.5</vt:lpwstr>
  </property>
</Properties>
</file>